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使い方" sheetId="1" state="visible" r:id="rId3"/>
    <sheet name="06_新規出店計画" sheetId="2" state="visible" r:id="rId4"/>
    <sheet name="07_品質改善報告" sheetId="3" state="visible" r:id="rId5"/>
    <sheet name="08_デジタル広告" sheetId="4" state="visible" r:id="rId6"/>
    <sheet name="09_組織再編案" sheetId="5" state="visible" r:id="rId7"/>
    <sheet name="10_技術ロードマップ" sheetId="6" state="visible" r:id="rId8"/>
    <sheet name="集計" sheetId="7" state="visible" r:id="rId9"/>
  </sheets>
  <definedNames>
    <definedName function="false" hidden="true" localSheetId="1" name="_xlnm._FilterDatabase" vbProcedure="false">06_新規出店計画!$A$2:$J$22</definedName>
    <definedName function="false" hidden="true" localSheetId="2" name="_xlnm._FilterDatabase" vbProcedure="false">07_品質改善報告!$A$2:$J$22</definedName>
    <definedName function="false" hidden="true" localSheetId="3" name="_xlnm._FilterDatabase" vbProcedure="false">08_デジタル広告!$A$2:$J$22</definedName>
    <definedName function="false" hidden="true" localSheetId="4" name="_xlnm._FilterDatabase" vbProcedure="false">09_組織再編案!$A$2:$J$22</definedName>
    <definedName function="false" hidden="true" localSheetId="5" name="_xlnm._FilterDatabase" vbProcedure="false">10_技術ロードマップ!$A$2:$J$22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<sst xmlns="http://schemas.openxmlformats.org/spreadsheetml/2006/main" count="1140" uniqueCount="638">
  <si>
    <r>
      <rPr>
        <b val="true"/>
        <sz val="16"/>
        <rFont val="WenQuanYi Zen Hei"/>
        <family val="2"/>
      </rPr>
      <t xml:space="preserve">実務型スライド 読み取り評価【上級】（</t>
    </r>
    <r>
      <rPr>
        <b val="true"/>
        <sz val="16"/>
        <rFont val="Noto Sans CJK SC"/>
        <family val="2"/>
        <charset val="1"/>
      </rPr>
      <t xml:space="preserve">5</t>
    </r>
    <r>
      <rPr>
        <b val="true"/>
        <sz val="16"/>
        <rFont val="WenQuanYi Zen Hei"/>
        <family val="2"/>
      </rPr>
      <t xml:space="preserve">ファイル </t>
    </r>
    <r>
      <rPr>
        <b val="true"/>
        <sz val="16"/>
        <rFont val="Noto Sans CJK SC"/>
        <family val="2"/>
        <charset val="1"/>
      </rPr>
      <t xml:space="preserve">× 20</t>
    </r>
    <r>
      <rPr>
        <b val="true"/>
        <sz val="16"/>
        <rFont val="WenQuanYi Zen Hei"/>
        <family val="2"/>
      </rPr>
      <t xml:space="preserve">問 ＝ </t>
    </r>
    <r>
      <rPr>
        <b val="true"/>
        <sz val="16"/>
        <rFont val="Noto Sans CJK SC"/>
        <family val="2"/>
        <charset val="1"/>
      </rPr>
      <t xml:space="preserve">100</t>
    </r>
    <r>
      <rPr>
        <b val="true"/>
        <sz val="16"/>
        <rFont val="WenQuanYi Zen Hei"/>
        <family val="2"/>
      </rPr>
      <t xml:space="preserve">問）</t>
    </r>
  </si>
  <si>
    <t xml:space="preserve">■ 対象ファイル</t>
  </si>
  <si>
    <r>
      <rPr>
        <sz val="10"/>
        <rFont val="WenQuanYi Zen Hei"/>
        <family val="2"/>
      </rPr>
      <t xml:space="preserve">・</t>
    </r>
    <r>
      <rPr>
        <sz val="10"/>
        <rFont val="Noto Sans CJK SC"/>
        <family val="2"/>
        <charset val="1"/>
      </rPr>
      <t xml:space="preserve">06_</t>
    </r>
    <r>
      <rPr>
        <sz val="10"/>
        <rFont val="WenQuanYi Zen Hei"/>
        <family val="2"/>
      </rPr>
      <t xml:space="preserve">新規出店計画</t>
    </r>
    <r>
      <rPr>
        <sz val="10"/>
        <rFont val="Noto Sans CJK SC"/>
        <family val="2"/>
        <charset val="1"/>
      </rPr>
      <t xml:space="preserve">.pptx</t>
    </r>
    <r>
      <rPr>
        <sz val="10"/>
        <rFont val="WenQuanYi Zen Hei"/>
        <family val="2"/>
      </rPr>
      <t xml:space="preserve">（地図・バブルチャート・リンク・トリミング画像など、</t>
    </r>
    <r>
      <rPr>
        <sz val="10"/>
        <rFont val="Noto Sans CJK SC"/>
        <family val="2"/>
        <charset val="1"/>
      </rPr>
      <t xml:space="preserve">10</t>
    </r>
    <r>
      <rPr>
        <sz val="10"/>
        <rFont val="WenQuanYi Zen Hei"/>
        <family val="2"/>
      </rPr>
      <t xml:space="preserve">枚）</t>
    </r>
  </si>
  <si>
    <r>
      <rPr>
        <sz val="10"/>
        <rFont val="WenQuanYi Zen Hei"/>
        <family val="2"/>
      </rPr>
      <t xml:space="preserve">・</t>
    </r>
    <r>
      <rPr>
        <sz val="10"/>
        <rFont val="Noto Sans CJK SC"/>
        <family val="2"/>
        <charset val="1"/>
      </rPr>
      <t xml:space="preserve">07_</t>
    </r>
    <r>
      <rPr>
        <sz val="10"/>
        <rFont val="WenQuanYi Zen Hei"/>
        <family val="2"/>
      </rPr>
      <t xml:space="preserve">品質改善報告</t>
    </r>
    <r>
      <rPr>
        <sz val="10"/>
        <rFont val="Noto Sans CJK SC"/>
        <family val="2"/>
        <charset val="1"/>
      </rPr>
      <t xml:space="preserve">_8D.pptx</t>
    </r>
    <r>
      <rPr>
        <sz val="10"/>
        <rFont val="WenQuanYi Zen Hei"/>
        <family val="2"/>
      </rPr>
      <t xml:space="preserve">（計器写真・スキャン文書・パレート図・管理図など、</t>
    </r>
    <r>
      <rPr>
        <sz val="10"/>
        <rFont val="Noto Sans CJK SC"/>
        <family val="2"/>
        <charset val="1"/>
      </rPr>
      <t xml:space="preserve">10</t>
    </r>
    <r>
      <rPr>
        <sz val="10"/>
        <rFont val="WenQuanYi Zen Hei"/>
        <family val="2"/>
      </rPr>
      <t xml:space="preserve">枚）</t>
    </r>
  </si>
  <si>
    <r>
      <rPr>
        <sz val="10"/>
        <rFont val="WenQuanYi Zen Hei"/>
        <family val="2"/>
      </rPr>
      <t xml:space="preserve">・</t>
    </r>
    <r>
      <rPr>
        <sz val="10"/>
        <rFont val="Noto Sans CJK SC"/>
        <family val="2"/>
        <charset val="1"/>
      </rPr>
      <t xml:space="preserve">08_</t>
    </r>
    <r>
      <rPr>
        <sz val="10"/>
        <rFont val="WenQuanYi Zen Hei"/>
        <family val="2"/>
      </rPr>
      <t xml:space="preserve">デジタル広告</t>
    </r>
    <r>
      <rPr>
        <sz val="10"/>
        <rFont val="Noto Sans CJK SC"/>
        <family val="2"/>
        <charset val="1"/>
      </rPr>
      <t xml:space="preserve">_</t>
    </r>
    <r>
      <rPr>
        <sz val="10"/>
        <rFont val="WenQuanYi Zen Hei"/>
        <family val="2"/>
      </rPr>
      <t xml:space="preserve">効果検証</t>
    </r>
    <r>
      <rPr>
        <sz val="10"/>
        <rFont val="Noto Sans CJK SC"/>
        <family val="2"/>
        <charset val="1"/>
      </rPr>
      <t xml:space="preserve">.pptx</t>
    </r>
    <r>
      <rPr>
        <sz val="10"/>
        <rFont val="WenQuanYi Zen Hei"/>
        <family val="2"/>
      </rPr>
      <t xml:space="preserve">（背景の透かし・ファネル・複合グラフ・埋め込み</t>
    </r>
    <r>
      <rPr>
        <sz val="10"/>
        <rFont val="Noto Sans CJK SC"/>
        <family val="2"/>
        <charset val="1"/>
      </rPr>
      <t xml:space="preserve">Excel</t>
    </r>
    <r>
      <rPr>
        <sz val="10"/>
        <rFont val="WenQuanYi Zen Hei"/>
        <family val="2"/>
      </rPr>
      <t xml:space="preserve">など、</t>
    </r>
    <r>
      <rPr>
        <sz val="10"/>
        <rFont val="Noto Sans CJK SC"/>
        <family val="2"/>
        <charset val="1"/>
      </rPr>
      <t xml:space="preserve">10</t>
    </r>
    <r>
      <rPr>
        <sz val="10"/>
        <rFont val="WenQuanYi Zen Hei"/>
        <family val="2"/>
      </rPr>
      <t xml:space="preserve">枚）</t>
    </r>
  </si>
  <si>
    <r>
      <rPr>
        <sz val="10"/>
        <rFont val="WenQuanYi Zen Hei"/>
        <family val="2"/>
      </rPr>
      <t xml:space="preserve">・</t>
    </r>
    <r>
      <rPr>
        <sz val="10"/>
        <rFont val="Noto Sans CJK SC"/>
        <family val="2"/>
        <charset val="1"/>
      </rPr>
      <t xml:space="preserve">09_</t>
    </r>
    <r>
      <rPr>
        <sz val="10"/>
        <rFont val="WenQuanYi Zen Hei"/>
        <family val="2"/>
      </rPr>
      <t xml:space="preserve">組織再編案</t>
    </r>
    <r>
      <rPr>
        <sz val="10"/>
        <rFont val="Noto Sans CJK SC"/>
        <family val="2"/>
        <charset val="1"/>
      </rPr>
      <t xml:space="preserve">.pptx</t>
    </r>
    <r>
      <rPr>
        <sz val="10"/>
        <rFont val="WenQuanYi Zen Hei"/>
        <family val="2"/>
      </rPr>
      <t xml:space="preserve">（レイアウト上の版数・セクション・ベン図・親和図など、</t>
    </r>
    <r>
      <rPr>
        <sz val="10"/>
        <rFont val="Noto Sans CJK SC"/>
        <family val="2"/>
        <charset val="1"/>
      </rPr>
      <t xml:space="preserve">10</t>
    </r>
    <r>
      <rPr>
        <sz val="10"/>
        <rFont val="WenQuanYi Zen Hei"/>
        <family val="2"/>
      </rPr>
      <t xml:space="preserve">枚）</t>
    </r>
  </si>
  <si>
    <r>
      <rPr>
        <sz val="10"/>
        <rFont val="WenQuanYi Zen Hei"/>
        <family val="2"/>
      </rPr>
      <t xml:space="preserve">・</t>
    </r>
    <r>
      <rPr>
        <sz val="10"/>
        <rFont val="Noto Sans CJK SC"/>
        <family val="2"/>
        <charset val="1"/>
      </rPr>
      <t xml:space="preserve">10_</t>
    </r>
    <r>
      <rPr>
        <sz val="10"/>
        <rFont val="WenQuanYi Zen Hei"/>
        <family val="2"/>
      </rPr>
      <t xml:space="preserve">技術開発ロードマップ</t>
    </r>
    <r>
      <rPr>
        <sz val="10"/>
        <rFont val="Noto Sans CJK SC"/>
        <family val="2"/>
        <charset val="1"/>
      </rPr>
      <t xml:space="preserve">.pptx</t>
    </r>
    <r>
      <rPr>
        <sz val="10"/>
        <rFont val="WenQuanYi Zen Hei"/>
        <family val="2"/>
      </rPr>
      <t xml:space="preserve">（対数軸・逆順軸・化学式・</t>
    </r>
    <r>
      <rPr>
        <sz val="10"/>
        <rFont val="Noto Sans CJK SC"/>
        <family val="2"/>
        <charset val="1"/>
      </rPr>
      <t xml:space="preserve">SVG</t>
    </r>
    <r>
      <rPr>
        <sz val="10"/>
        <rFont val="WenQuanYi Zen Hei"/>
        <family val="2"/>
      </rPr>
      <t xml:space="preserve">画像など、</t>
    </r>
    <r>
      <rPr>
        <sz val="10"/>
        <rFont val="Noto Sans CJK SC"/>
        <family val="2"/>
        <charset val="1"/>
      </rPr>
      <t xml:space="preserve">10</t>
    </r>
    <r>
      <rPr>
        <sz val="10"/>
        <rFont val="WenQuanYi Zen Hei"/>
        <family val="2"/>
      </rPr>
      <t xml:space="preserve">枚）</t>
    </r>
  </si>
  <si>
    <t xml:space="preserve">■ 進め方</t>
  </si>
  <si>
    <r>
      <rPr>
        <sz val="10"/>
        <rFont val="Meiryo UI"/>
        <family val="0"/>
        <charset val="1"/>
      </rPr>
      <t xml:space="preserve">1. </t>
    </r>
    <r>
      <rPr>
        <sz val="10"/>
        <rFont val="WenQuanYi Zen Hei"/>
        <family val="2"/>
      </rPr>
      <t xml:space="preserve">ファイルごとのシートを開き、そのファイル全体（</t>
    </r>
    <r>
      <rPr>
        <sz val="10"/>
        <rFont val="Meiryo UI"/>
        <family val="0"/>
        <charset val="1"/>
      </rPr>
      <t xml:space="preserve">10</t>
    </r>
    <r>
      <rPr>
        <sz val="10"/>
        <rFont val="WenQuanYi Zen Hei"/>
        <family val="2"/>
      </rPr>
      <t xml:space="preserve">枚）を</t>
    </r>
    <r>
      <rPr>
        <sz val="10"/>
        <rFont val="Meiryo UI"/>
        <family val="0"/>
        <charset val="1"/>
      </rPr>
      <t xml:space="preserve">LLM</t>
    </r>
    <r>
      <rPr>
        <sz val="10"/>
        <rFont val="WenQuanYi Zen Hei"/>
        <family val="2"/>
      </rPr>
      <t xml:space="preserve">に入力する。</t>
    </r>
  </si>
  <si>
    <r>
      <rPr>
        <sz val="10"/>
        <rFont val="Meiryo UI"/>
        <family val="0"/>
        <charset val="1"/>
      </rPr>
      <t xml:space="preserve">2. </t>
    </r>
    <r>
      <rPr>
        <sz val="10"/>
        <rFont val="WenQuanYi Zen Hei"/>
        <family val="2"/>
      </rPr>
      <t xml:space="preserve">『質問』列の文章をそのまま</t>
    </r>
    <r>
      <rPr>
        <sz val="10"/>
        <rFont val="Meiryo UI"/>
        <family val="0"/>
        <charset val="1"/>
      </rPr>
      <t xml:space="preserve">1</t>
    </r>
    <r>
      <rPr>
        <sz val="10"/>
        <rFont val="WenQuanYi Zen Hei"/>
        <family val="2"/>
      </rPr>
      <t xml:space="preserve">問ずつ質問する。</t>
    </r>
    <r>
      <rPr>
        <sz val="10"/>
        <rFont val="Meiryo UI"/>
        <family val="0"/>
        <charset val="1"/>
      </rPr>
      <t xml:space="preserve">1</t>
    </r>
    <r>
      <rPr>
        <sz val="10"/>
        <rFont val="WenQuanYi Zen Hei"/>
        <family val="2"/>
      </rPr>
      <t xml:space="preserve">問ごとに新しいセッションで、ファイルを入力し直すのが望ましい（前の回答がヒントになるのを防ぐ）。</t>
    </r>
  </si>
  <si>
    <r>
      <rPr>
        <sz val="10"/>
        <rFont val="Meiryo UI"/>
        <family val="0"/>
        <charset val="1"/>
      </rPr>
      <t xml:space="preserve">3. </t>
    </r>
    <r>
      <rPr>
        <sz val="10"/>
        <rFont val="WenQuanYi Zen Hei"/>
        <family val="2"/>
      </rPr>
      <t xml:space="preserve">黄色セルに記入：判定（</t>
    </r>
    <r>
      <rPr>
        <sz val="10"/>
        <rFont val="Meiryo UI"/>
        <family val="0"/>
        <charset val="1"/>
      </rPr>
      <t xml:space="preserve">OK</t>
    </r>
    <r>
      <rPr>
        <sz val="10"/>
        <rFont val="WenQuanYi Zen Hei"/>
        <family val="2"/>
      </rPr>
      <t xml:space="preserve">／部分／</t>
    </r>
    <r>
      <rPr>
        <sz val="10"/>
        <rFont val="Meiryo UI"/>
        <family val="0"/>
        <charset val="1"/>
      </rPr>
      <t xml:space="preserve">NG</t>
    </r>
    <r>
      <rPr>
        <sz val="10"/>
        <rFont val="WenQuanYi Zen Hei"/>
        <family val="2"/>
      </rPr>
      <t xml:space="preserve">）、</t>
    </r>
    <r>
      <rPr>
        <sz val="10"/>
        <rFont val="Meiryo UI"/>
        <family val="0"/>
        <charset val="1"/>
      </rPr>
      <t xml:space="preserve">LLM</t>
    </r>
    <r>
      <rPr>
        <sz val="10"/>
        <rFont val="WenQuanYi Zen Hei"/>
        <family val="2"/>
      </rPr>
      <t xml:space="preserve">の回答（要点）、備考。</t>
    </r>
  </si>
  <si>
    <r>
      <rPr>
        <sz val="10"/>
        <rFont val="Meiryo UI"/>
        <family val="0"/>
        <charset val="1"/>
      </rPr>
      <t xml:space="preserve">4. </t>
    </r>
    <r>
      <rPr>
        <sz val="10"/>
        <rFont val="WenQuanYi Zen Hei"/>
        <family val="2"/>
      </rPr>
      <t xml:space="preserve">『集計』シートにファイル別・問題種別ごとの正答率が出る（</t>
    </r>
    <r>
      <rPr>
        <sz val="10"/>
        <rFont val="Meiryo UI"/>
        <family val="0"/>
        <charset val="1"/>
      </rPr>
      <t xml:space="preserve">OK=1</t>
    </r>
    <r>
      <rPr>
        <sz val="10"/>
        <rFont val="WenQuanYi Zen Hei"/>
        <family val="2"/>
      </rPr>
      <t xml:space="preserve">点、部分</t>
    </r>
    <r>
      <rPr>
        <sz val="10"/>
        <rFont val="Meiryo UI"/>
        <family val="0"/>
        <charset val="1"/>
      </rPr>
      <t xml:space="preserve">=0.5</t>
    </r>
    <r>
      <rPr>
        <sz val="10"/>
        <rFont val="WenQuanYi Zen Hei"/>
        <family val="2"/>
      </rPr>
      <t xml:space="preserve">点）。</t>
    </r>
  </si>
  <si>
    <t xml:space="preserve">■ 問題種別</t>
  </si>
  <si>
    <t xml:space="preserve">問題種別は各シートの『問題種別』列を参照。スライド上に見えない情報（代替テキスト・リンク先・レイアウト・セクション・埋め込みファイル・ノート）や、画像・図形の位置関係を読み取る問題を多く含む。</t>
  </si>
  <si>
    <t xml:space="preserve">■ 実施ルール</t>
  </si>
  <si>
    <r>
      <rPr>
        <sz val="10"/>
        <rFont val="WenQuanYi Zen Hei"/>
        <family val="2"/>
      </rPr>
      <t xml:space="preserve">・</t>
    </r>
    <r>
      <rPr>
        <sz val="10"/>
        <rFont val="Noto Sans CJK SC"/>
        <family val="2"/>
        <charset val="1"/>
      </rPr>
      <t xml:space="preserve">LLM</t>
    </r>
    <r>
      <rPr>
        <sz val="10"/>
        <rFont val="WenQuanYi Zen Hei"/>
        <family val="2"/>
      </rPr>
      <t xml:space="preserve">への前置き（システムプロンプト）は全問で統一し、『推測しないで』等の指示は入れない（『記載なし』問題で補完傾向を見るため）。</t>
    </r>
  </si>
  <si>
    <r>
      <rPr>
        <sz val="10"/>
        <rFont val="WenQuanYi Zen Hei"/>
        <family val="2"/>
      </rPr>
      <t xml:space="preserve">・『根拠』列は正解の出どころ（スライド番号と要素）。採点時の確認用で、</t>
    </r>
    <r>
      <rPr>
        <sz val="10"/>
        <rFont val="Noto Sans CJK SC"/>
        <family val="2"/>
        <charset val="1"/>
      </rPr>
      <t xml:space="preserve">LLM</t>
    </r>
    <r>
      <rPr>
        <sz val="10"/>
        <rFont val="WenQuanYi Zen Hei"/>
        <family val="2"/>
      </rPr>
      <t xml:space="preserve">には見せない。</t>
    </r>
  </si>
  <si>
    <r>
      <rPr>
        <b val="true"/>
        <sz val="12"/>
        <rFont val="WenQuanYi Zen Hei"/>
        <family val="2"/>
      </rPr>
      <t xml:space="preserve">対象：</t>
    </r>
    <r>
      <rPr>
        <b val="true"/>
        <sz val="12"/>
        <rFont val="Noto Sans CJK SC"/>
        <family val="2"/>
        <charset val="1"/>
      </rPr>
      <t xml:space="preserve">06_</t>
    </r>
    <r>
      <rPr>
        <b val="true"/>
        <sz val="12"/>
        <rFont val="WenQuanYi Zen Hei"/>
        <family val="2"/>
      </rPr>
      <t xml:space="preserve">新規出店計画</t>
    </r>
    <r>
      <rPr>
        <b val="true"/>
        <sz val="12"/>
        <rFont val="Noto Sans CJK SC"/>
        <family val="2"/>
        <charset val="1"/>
      </rPr>
      <t xml:space="preserve">.pptx</t>
    </r>
    <r>
      <rPr>
        <b val="true"/>
        <sz val="12"/>
        <rFont val="WenQuanYi Zen Hei"/>
        <family val="2"/>
      </rPr>
      <t xml:space="preserve">（</t>
    </r>
    <r>
      <rPr>
        <b val="true"/>
        <sz val="12"/>
        <rFont val="Noto Sans CJK SC"/>
        <family val="2"/>
        <charset val="1"/>
      </rPr>
      <t xml:space="preserve">10</t>
    </r>
    <r>
      <rPr>
        <b val="true"/>
        <sz val="12"/>
        <rFont val="WenQuanYi Zen Hei"/>
        <family val="2"/>
      </rPr>
      <t xml:space="preserve">枚）</t>
    </r>
  </si>
  <si>
    <t xml:space="preserve">No.</t>
  </si>
  <si>
    <t xml:space="preserve">出題スライド</t>
  </si>
  <si>
    <t xml:space="preserve">問題種別</t>
  </si>
  <si>
    <t xml:space="preserve">質問（コピペ用）</t>
  </si>
  <si>
    <t xml:space="preserve">正解</t>
  </si>
  <si>
    <t xml:space="preserve">判定基準</t>
  </si>
  <si>
    <t xml:space="preserve">根拠（採点用）</t>
  </si>
  <si>
    <t xml:space="preserve">判定</t>
  </si>
  <si>
    <r>
      <rPr>
        <b val="true"/>
        <sz val="10"/>
        <color rgb="FFFFFFFF"/>
        <rFont val="Meiryo UI"/>
        <family val="0"/>
        <charset val="1"/>
      </rPr>
      <t xml:space="preserve">LLM</t>
    </r>
    <r>
      <rPr>
        <b val="true"/>
        <sz val="10"/>
        <color rgb="FFFFFFFF"/>
        <rFont val="WenQuanYi Zen Hei"/>
        <family val="2"/>
      </rPr>
      <t xml:space="preserve">の回答</t>
    </r>
  </si>
  <si>
    <t xml:space="preserve">備考</t>
  </si>
  <si>
    <r>
      <rPr>
        <sz val="11"/>
        <color theme="1"/>
        <rFont val="Calibri"/>
        <family val="2"/>
        <charset val="1"/>
      </rPr>
      <t xml:space="preserve">LLM</t>
    </r>
    <r>
      <rPr>
        <sz val="11"/>
        <color theme="1"/>
        <rFont val="WenQuanYi Zen Hei"/>
        <family val="2"/>
      </rPr>
      <t xml:space="preserve">の回答（生値）</t>
    </r>
  </si>
  <si>
    <r>
      <rPr>
        <sz val="11"/>
        <color theme="1"/>
        <rFont val="WenQuanYi Zen Hei"/>
        <family val="2"/>
      </rPr>
      <t xml:space="preserve">テスト</t>
    </r>
    <r>
      <rPr>
        <sz val="11"/>
        <color theme="1"/>
        <rFont val="Calibri"/>
        <family val="2"/>
        <charset val="1"/>
      </rPr>
      <t xml:space="preserve">ID</t>
    </r>
  </si>
  <si>
    <t xml:space="preserve">P2</t>
  </si>
  <si>
    <t xml:space="preserve">書式・文字装飾</t>
  </si>
  <si>
    <t xml:space="preserve">出店優先度が『高』とされているエリアをすべて答えてください。</t>
  </si>
  <si>
    <t xml:space="preserve">中央、湾岸</t>
  </si>
  <si>
    <r>
      <rPr>
        <sz val="10"/>
        <rFont val="WenQuanYi Zen Hei"/>
        <family val="2"/>
      </rPr>
      <t xml:space="preserve">正解の要素がすべて含まれる</t>
    </r>
    <r>
      <rPr>
        <sz val="10"/>
        <rFont val="Noto Sans CJK SC"/>
        <family val="2"/>
        <charset val="1"/>
      </rPr>
      <t xml:space="preserve">=OK</t>
    </r>
    <r>
      <rPr>
        <sz val="10"/>
        <rFont val="WenQuanYi Zen Hei"/>
        <family val="2"/>
      </rPr>
      <t xml:space="preserve">／一部のみ</t>
    </r>
    <r>
      <rPr>
        <sz val="10"/>
        <rFont val="Noto Sans CJK SC"/>
        <family val="2"/>
        <charset val="1"/>
      </rPr>
      <t xml:space="preserve">=</t>
    </r>
    <r>
      <rPr>
        <sz val="10"/>
        <rFont val="WenQuanYi Zen Hei"/>
        <family val="2"/>
      </rPr>
      <t xml:space="preserve">部分／誤り・スライドにない内容を断定</t>
    </r>
    <r>
      <rPr>
        <sz val="10"/>
        <rFont val="Noto Sans CJK SC"/>
        <family val="2"/>
        <charset val="1"/>
      </rPr>
      <t xml:space="preserve">=NG</t>
    </r>
  </si>
  <si>
    <r>
      <rPr>
        <sz val="10"/>
        <rFont val="WenQuanYi Zen Hei"/>
        <family val="2"/>
      </rPr>
      <t xml:space="preserve">【書式・色（地図）】</t>
    </r>
    <r>
      <rPr>
        <sz val="10"/>
        <rFont val="Noto Sans CJK SC"/>
        <family val="2"/>
        <charset val="1"/>
      </rPr>
      <t xml:space="preserve">P2 </t>
    </r>
    <r>
      <rPr>
        <sz val="10"/>
        <rFont val="WenQuanYi Zen Hei"/>
        <family val="2"/>
      </rPr>
      <t xml:space="preserve">フリーフォームの塗り色＋凡例（評価点の数値はない）</t>
    </r>
  </si>
  <si>
    <t xml:space="preserve">OK</t>
  </si>
  <si>
    <r>
      <rPr>
        <sz val="11"/>
        <color theme="1"/>
        <rFont val="WenQuanYi Zen Hei"/>
        <family val="2"/>
      </rPr>
      <t xml:space="preserve">出店優先度が『高』とされているエリアは、次の</t>
    </r>
    <r>
      <rPr>
        <sz val="11"/>
        <color theme="1"/>
        <rFont val="Calibri"/>
        <family val="2"/>
        <charset val="1"/>
      </rPr>
      <t xml:space="preserve">2</t>
    </r>
    <r>
      <rPr>
        <sz val="11"/>
        <color theme="1"/>
        <rFont val="WenQuanYi Zen Hei"/>
        <family val="2"/>
      </rPr>
      <t xml:space="preserve">つです。
</t>
    </r>
    <r>
      <rPr>
        <sz val="11"/>
        <color theme="1"/>
        <rFont val="Calibri"/>
        <family val="2"/>
        <charset val="1"/>
      </rPr>
      <t xml:space="preserve">- </t>
    </r>
    <r>
      <rPr>
        <sz val="11"/>
        <color theme="1"/>
        <rFont val="WenQuanYi Zen Hei"/>
        <family val="2"/>
      </rPr>
      <t xml:space="preserve">中央
</t>
    </r>
    <r>
      <rPr>
        <sz val="11"/>
        <color theme="1"/>
        <rFont val="Calibri"/>
        <family val="2"/>
        <charset val="1"/>
      </rPr>
      <t xml:space="preserve">- </t>
    </r>
    <r>
      <rPr>
        <sz val="11"/>
        <color theme="1"/>
        <rFont val="WenQuanYi Zen Hei"/>
        <family val="2"/>
      </rPr>
      <t xml:space="preserve">湾岸
（スライド</t>
    </r>
    <r>
      <rPr>
        <sz val="11"/>
        <color theme="1"/>
        <rFont val="Calibri"/>
        <family val="2"/>
        <charset val="1"/>
      </rPr>
      <t xml:space="preserve">2</t>
    </r>
    <r>
      <rPr>
        <sz val="11"/>
        <color theme="1"/>
        <rFont val="WenQuanYi Zen Hei"/>
        <family val="2"/>
      </rPr>
      <t xml:space="preserve">「出店エリアの評価」より。いずれも評価点</t>
    </r>
    <r>
      <rPr>
        <sz val="11"/>
        <color theme="1"/>
        <rFont val="Calibri"/>
        <family val="2"/>
        <charset val="1"/>
      </rPr>
      <t xml:space="preserve">80</t>
    </r>
    <r>
      <rPr>
        <sz val="11"/>
        <color theme="1"/>
        <rFont val="WenQuanYi Zen Hei"/>
        <family val="2"/>
      </rPr>
      <t xml:space="preserve">以上）</t>
    </r>
  </si>
  <si>
    <t xml:space="preserve">06-01</t>
  </si>
  <si>
    <t xml:space="preserve">中央エリアに隣接していて、優先度が『低』のエリアはどれですか？</t>
  </si>
  <si>
    <t xml:space="preserve">北、西</t>
  </si>
  <si>
    <r>
      <rPr>
        <sz val="10"/>
        <rFont val="WenQuanYi Zen Hei"/>
        <family val="2"/>
      </rPr>
      <t xml:space="preserve">【書式・色（地図）】</t>
    </r>
    <r>
      <rPr>
        <sz val="10"/>
        <rFont val="Noto Sans CJK SC"/>
        <family val="2"/>
        <charset val="1"/>
      </rPr>
      <t xml:space="preserve">P2 </t>
    </r>
    <r>
      <rPr>
        <sz val="10"/>
        <rFont val="WenQuanYi Zen Hei"/>
        <family val="2"/>
      </rPr>
      <t xml:space="preserve">図形の色と隣接関係</t>
    </r>
  </si>
  <si>
    <t xml:space="preserve">北、西（模式地図の配置から判断と明記）</t>
  </si>
  <si>
    <r>
      <rPr>
        <sz val="11"/>
        <color theme="1"/>
        <rFont val="WenQuanYi Zen Hei"/>
        <family val="2"/>
      </rPr>
      <t xml:space="preserve">中央エリアに隣接していて出店優先度が「低」のエリアは、</t>
    </r>
    <r>
      <rPr>
        <sz val="11"/>
        <color theme="1"/>
        <rFont val="Calibri"/>
        <family val="2"/>
        <charset val="1"/>
      </rPr>
      <t xml:space="preserve">**</t>
    </r>
    <r>
      <rPr>
        <sz val="11"/>
        <color theme="1"/>
        <rFont val="WenQuanYi Zen Hei"/>
        <family val="2"/>
      </rPr>
      <t xml:space="preserve">北</t>
    </r>
    <r>
      <rPr>
        <sz val="11"/>
        <color theme="1"/>
        <rFont val="Calibri"/>
        <family val="2"/>
        <charset val="1"/>
      </rPr>
      <t xml:space="preserve">**</t>
    </r>
    <r>
      <rPr>
        <sz val="11"/>
        <color theme="1"/>
        <rFont val="WenQuanYi Zen Hei"/>
        <family val="2"/>
      </rPr>
      <t xml:space="preserve">と</t>
    </r>
    <r>
      <rPr>
        <sz val="11"/>
        <color theme="1"/>
        <rFont val="Calibri"/>
        <family val="2"/>
        <charset val="1"/>
      </rPr>
      <t xml:space="preserve">**</t>
    </r>
    <r>
      <rPr>
        <sz val="11"/>
        <color theme="1"/>
        <rFont val="WenQuanYi Zen Hei"/>
        <family val="2"/>
      </rPr>
      <t xml:space="preserve">西</t>
    </r>
    <r>
      <rPr>
        <sz val="11"/>
        <color theme="1"/>
        <rFont val="Calibri"/>
        <family val="2"/>
        <charset val="1"/>
      </rPr>
      <t xml:space="preserve">**</t>
    </r>
    <r>
      <rPr>
        <sz val="11"/>
        <color theme="1"/>
        <rFont val="WenQuanYi Zen Hei"/>
        <family val="2"/>
      </rPr>
      <t xml:space="preserve">の</t>
    </r>
    <r>
      <rPr>
        <sz val="11"/>
        <color theme="1"/>
        <rFont val="Calibri"/>
        <family val="2"/>
        <charset val="1"/>
      </rPr>
      <t xml:space="preserve">2</t>
    </r>
    <r>
      <rPr>
        <sz val="11"/>
        <color theme="1"/>
        <rFont val="WenQuanYi Zen Hei"/>
        <family val="2"/>
      </rPr>
      <t xml:space="preserve">つです。
</t>
    </r>
    <r>
      <rPr>
        <sz val="11"/>
        <color theme="1"/>
        <rFont val="Calibri"/>
        <family val="2"/>
        <charset val="1"/>
      </rPr>
      <t xml:space="preserve">- </t>
    </r>
    <r>
      <rPr>
        <sz val="11"/>
        <color theme="1"/>
        <rFont val="WenQuanYi Zen Hei"/>
        <family val="2"/>
      </rPr>
      <t xml:space="preserve">優先度が「低」（評価点</t>
    </r>
    <r>
      <rPr>
        <sz val="11"/>
        <color theme="1"/>
        <rFont val="Calibri"/>
        <family val="2"/>
        <charset val="1"/>
      </rPr>
      <t xml:space="preserve">60</t>
    </r>
    <r>
      <rPr>
        <sz val="11"/>
        <color theme="1"/>
        <rFont val="WenQuanYi Zen Hei"/>
        <family val="2"/>
      </rPr>
      <t xml:space="preserve">未満）なのは、北と西だけです（スライド</t>
    </r>
    <r>
      <rPr>
        <sz val="11"/>
        <color theme="1"/>
        <rFont val="Calibri"/>
        <family val="2"/>
        <charset val="1"/>
      </rPr>
      <t xml:space="preserve">2</t>
    </r>
    <r>
      <rPr>
        <sz val="11"/>
        <color theme="1"/>
        <rFont val="WenQuanYi Zen Hei"/>
        <family val="2"/>
      </rPr>
      <t xml:space="preserve">の表）。
</t>
    </r>
    <r>
      <rPr>
        <sz val="11"/>
        <color theme="1"/>
        <rFont val="Calibri"/>
        <family val="2"/>
        <charset val="1"/>
      </rPr>
      <t xml:space="preserve">- </t>
    </r>
    <r>
      <rPr>
        <sz val="11"/>
        <color theme="1"/>
        <rFont val="WenQuanYi Zen Hei"/>
        <family val="2"/>
      </rPr>
      <t xml:space="preserve">スライド</t>
    </r>
    <r>
      <rPr>
        <sz val="11"/>
        <color theme="1"/>
        <rFont val="Calibri"/>
        <family val="2"/>
        <charset val="1"/>
      </rPr>
      <t xml:space="preserve">2</t>
    </r>
    <r>
      <rPr>
        <sz val="11"/>
        <color theme="1"/>
        <rFont val="WenQuanYi Zen Hei"/>
        <family val="2"/>
      </rPr>
      <t xml:space="preserve">の模式地図では、北は左上、西は左中段、中央は中心にあります。どちらも中央のすぐ周りにあるので、中央に隣接していると読み取れます。
※資料には隣接関係そのものは書かれていません。上の答えは、模式地図での「おおよその配置」から読み取ったものです。</t>
    </r>
  </si>
  <si>
    <t xml:space="preserve">06-02</t>
  </si>
  <si>
    <t xml:space="preserve">P3</t>
  </si>
  <si>
    <t xml:space="preserve">グラフ</t>
  </si>
  <si>
    <t xml:space="preserve">競合店舗数が最も少ない候補地はどこですか？店舗数も答えてください。</t>
  </si>
  <si>
    <r>
      <rPr>
        <sz val="10"/>
        <rFont val="WenQuanYi Zen Hei"/>
        <family val="2"/>
      </rPr>
      <t xml:space="preserve">南公園通り、</t>
    </r>
    <r>
      <rPr>
        <sz val="10"/>
        <rFont val="Noto Sans CJK SC"/>
        <family val="2"/>
        <charset val="1"/>
      </rPr>
      <t xml:space="preserve">2</t>
    </r>
    <r>
      <rPr>
        <sz val="10"/>
        <rFont val="WenQuanYi Zen Hei"/>
        <family val="2"/>
      </rPr>
      <t xml:space="preserve">店</t>
    </r>
  </si>
  <si>
    <r>
      <rPr>
        <sz val="10"/>
        <rFont val="WenQuanYi Zen Hei"/>
        <family val="2"/>
      </rPr>
      <t xml:space="preserve">【バブルチャート】</t>
    </r>
    <r>
      <rPr>
        <sz val="10"/>
        <rFont val="Noto Sans CJK SC"/>
        <family val="2"/>
        <charset val="1"/>
      </rPr>
      <t xml:space="preserve">P3 </t>
    </r>
    <r>
      <rPr>
        <sz val="10"/>
        <rFont val="WenQuanYi Zen Hei"/>
        <family val="2"/>
      </rPr>
      <t xml:space="preserve">バブルの</t>
    </r>
    <r>
      <rPr>
        <sz val="10"/>
        <rFont val="Noto Sans CJK SC"/>
        <family val="2"/>
        <charset val="1"/>
      </rPr>
      <t xml:space="preserve">Y</t>
    </r>
    <r>
      <rPr>
        <sz val="10"/>
        <rFont val="WenQuanYi Zen Hei"/>
        <family val="2"/>
      </rPr>
      <t xml:space="preserve">値（ラベルなし）</t>
    </r>
  </si>
  <si>
    <r>
      <rPr>
        <sz val="10"/>
        <rFont val="WenQuanYi Zen Hei"/>
        <family val="2"/>
      </rPr>
      <t xml:space="preserve">南公園通り、</t>
    </r>
    <r>
      <rPr>
        <sz val="10"/>
        <rFont val="Meiryo UI"/>
        <family val="0"/>
        <charset val="1"/>
      </rPr>
      <t xml:space="preserve">2</t>
    </r>
    <r>
      <rPr>
        <sz val="10"/>
        <rFont val="WenQuanYi Zen Hei"/>
        <family val="2"/>
      </rPr>
      <t xml:space="preserve">店</t>
    </r>
  </si>
  <si>
    <r>
      <rPr>
        <sz val="11"/>
        <color theme="1"/>
        <rFont val="WenQuanYi Zen Hei"/>
        <family val="2"/>
      </rPr>
      <t xml:space="preserve">競合店舗数が最も少ない候補地は「南公園通り」で、競合店舗数は</t>
    </r>
    <r>
      <rPr>
        <sz val="11"/>
        <color theme="1"/>
        <rFont val="Calibri"/>
        <family val="2"/>
        <charset val="1"/>
      </rPr>
      <t xml:space="preserve">2</t>
    </r>
    <r>
      <rPr>
        <sz val="11"/>
        <color theme="1"/>
        <rFont val="WenQuanYi Zen Hei"/>
        <family val="2"/>
      </rPr>
      <t xml:space="preserve">店です。</t>
    </r>
  </si>
  <si>
    <t xml:space="preserve">06-03</t>
  </si>
  <si>
    <t xml:space="preserve">推定年商が最も大きい候補地と、その金額を答えてください。</t>
  </si>
  <si>
    <r>
      <rPr>
        <sz val="10"/>
        <rFont val="WenQuanYi Zen Hei"/>
        <family val="2"/>
      </rPr>
      <t xml:space="preserve">中央駅前、</t>
    </r>
    <r>
      <rPr>
        <sz val="10"/>
        <rFont val="Noto Sans CJK SC"/>
        <family val="2"/>
        <charset val="1"/>
      </rPr>
      <t xml:space="preserve">96</t>
    </r>
    <r>
      <rPr>
        <sz val="10"/>
        <rFont val="WenQuanYi Zen Hei"/>
        <family val="2"/>
      </rPr>
      <t xml:space="preserve">百万円</t>
    </r>
  </si>
  <si>
    <r>
      <rPr>
        <sz val="10"/>
        <rFont val="WenQuanYi Zen Hei"/>
        <family val="2"/>
      </rPr>
      <t xml:space="preserve">【バブルチャート】</t>
    </r>
    <r>
      <rPr>
        <sz val="10"/>
        <rFont val="Noto Sans CJK SC"/>
        <family val="2"/>
        <charset val="1"/>
      </rPr>
      <t xml:space="preserve">P3 </t>
    </r>
    <r>
      <rPr>
        <sz val="10"/>
        <rFont val="WenQuanYi Zen Hei"/>
        <family val="2"/>
      </rPr>
      <t xml:space="preserve">バブルの大きさ＝推定年商（</t>
    </r>
    <r>
      <rPr>
        <sz val="10"/>
        <rFont val="Noto Sans CJK SC"/>
        <family val="2"/>
        <charset val="1"/>
      </rPr>
      <t xml:space="preserve">P6</t>
    </r>
    <r>
      <rPr>
        <sz val="10"/>
        <rFont val="WenQuanYi Zen Hei"/>
        <family val="2"/>
      </rPr>
      <t xml:space="preserve">の売上と一致）</t>
    </r>
  </si>
  <si>
    <r>
      <rPr>
        <sz val="10"/>
        <rFont val="WenQuanYi Zen Hei"/>
        <family val="2"/>
      </rPr>
      <t xml:space="preserve">中央駅前、</t>
    </r>
    <r>
      <rPr>
        <sz val="10"/>
        <rFont val="Meiryo UI"/>
        <family val="0"/>
        <charset val="1"/>
      </rPr>
      <t xml:space="preserve">96</t>
    </r>
    <r>
      <rPr>
        <sz val="10"/>
        <rFont val="WenQuanYi Zen Hei"/>
        <family val="2"/>
      </rPr>
      <t xml:space="preserve">百万円</t>
    </r>
  </si>
  <si>
    <r>
      <rPr>
        <sz val="11"/>
        <color theme="1"/>
        <rFont val="WenQuanYi Zen Hei"/>
        <family val="2"/>
      </rPr>
      <t xml:space="preserve">推定年商が最も大きい候補地は「中央駅前」で、金額は</t>
    </r>
    <r>
      <rPr>
        <sz val="11"/>
        <color theme="1"/>
        <rFont val="Calibri"/>
        <family val="2"/>
        <charset val="1"/>
      </rPr>
      <t xml:space="preserve">96</t>
    </r>
    <r>
      <rPr>
        <sz val="11"/>
        <color theme="1"/>
        <rFont val="WenQuanYi Zen Hei"/>
        <family val="2"/>
      </rPr>
      <t xml:space="preserve">百万円（</t>
    </r>
    <r>
      <rPr>
        <sz val="11"/>
        <color theme="1"/>
        <rFont val="Calibri"/>
        <family val="2"/>
        <charset val="1"/>
      </rPr>
      <t xml:space="preserve">9,600</t>
    </r>
    <r>
      <rPr>
        <sz val="11"/>
        <color theme="1"/>
        <rFont val="WenQuanYi Zen Hei"/>
        <family val="2"/>
      </rPr>
      <t xml:space="preserve">万円）です。</t>
    </r>
  </si>
  <si>
    <t xml:space="preserve">06-04</t>
  </si>
  <si>
    <r>
      <rPr>
        <sz val="10"/>
        <rFont val="WenQuanYi Zen Hei"/>
        <family val="2"/>
      </rPr>
      <t xml:space="preserve">昼間人口が</t>
    </r>
    <r>
      <rPr>
        <sz val="10"/>
        <rFont val="Noto Sans CJK SC"/>
        <family val="2"/>
        <charset val="1"/>
      </rPr>
      <t xml:space="preserve">10</t>
    </r>
    <r>
      <rPr>
        <sz val="10"/>
        <rFont val="WenQuanYi Zen Hei"/>
        <family val="2"/>
      </rPr>
      <t xml:space="preserve">万人未満で、かつ競合店舗数が</t>
    </r>
    <r>
      <rPr>
        <sz val="10"/>
        <rFont val="Noto Sans CJK SC"/>
        <family val="2"/>
        <charset val="1"/>
      </rPr>
      <t xml:space="preserve">5</t>
    </r>
    <r>
      <rPr>
        <sz val="10"/>
        <rFont val="WenQuanYi Zen Hei"/>
        <family val="2"/>
      </rPr>
      <t xml:space="preserve">店未満の候補地をすべて答えてください。</t>
    </r>
  </si>
  <si>
    <r>
      <rPr>
        <sz val="10"/>
        <rFont val="WenQuanYi Zen Hei"/>
        <family val="2"/>
      </rPr>
      <t xml:space="preserve">湾岸タワー（</t>
    </r>
    <r>
      <rPr>
        <sz val="10"/>
        <rFont val="Noto Sans CJK SC"/>
        <family val="2"/>
        <charset val="1"/>
      </rPr>
      <t xml:space="preserve">9.2</t>
    </r>
    <r>
      <rPr>
        <sz val="10"/>
        <rFont val="WenQuanYi Zen Hei"/>
        <family val="2"/>
      </rPr>
      <t xml:space="preserve">万人・</t>
    </r>
    <r>
      <rPr>
        <sz val="10"/>
        <rFont val="Noto Sans CJK SC"/>
        <family val="2"/>
        <charset val="1"/>
      </rPr>
      <t xml:space="preserve">3</t>
    </r>
    <r>
      <rPr>
        <sz val="10"/>
        <rFont val="WenQuanYi Zen Hei"/>
        <family val="2"/>
      </rPr>
      <t xml:space="preserve">店）、北大学前（</t>
    </r>
    <r>
      <rPr>
        <sz val="10"/>
        <rFont val="Noto Sans CJK SC"/>
        <family val="2"/>
        <charset val="1"/>
      </rPr>
      <t xml:space="preserve">6.3</t>
    </r>
    <r>
      <rPr>
        <sz val="10"/>
        <rFont val="WenQuanYi Zen Hei"/>
        <family val="2"/>
      </rPr>
      <t xml:space="preserve">万人・</t>
    </r>
    <r>
      <rPr>
        <sz val="10"/>
        <rFont val="Noto Sans CJK SC"/>
        <family val="2"/>
        <charset val="1"/>
      </rPr>
      <t xml:space="preserve">4</t>
    </r>
    <r>
      <rPr>
        <sz val="10"/>
        <rFont val="WenQuanYi Zen Hei"/>
        <family val="2"/>
      </rPr>
      <t xml:space="preserve">店）、南公園通り（</t>
    </r>
    <r>
      <rPr>
        <sz val="10"/>
        <rFont val="Noto Sans CJK SC"/>
        <family val="2"/>
        <charset val="1"/>
      </rPr>
      <t xml:space="preserve">5.1</t>
    </r>
    <r>
      <rPr>
        <sz val="10"/>
        <rFont val="WenQuanYi Zen Hei"/>
        <family val="2"/>
      </rPr>
      <t xml:space="preserve">万人・</t>
    </r>
    <r>
      <rPr>
        <sz val="10"/>
        <rFont val="Noto Sans CJK SC"/>
        <family val="2"/>
        <charset val="1"/>
      </rPr>
      <t xml:space="preserve">2</t>
    </r>
    <r>
      <rPr>
        <sz val="10"/>
        <rFont val="WenQuanYi Zen Hei"/>
        <family val="2"/>
      </rPr>
      <t xml:space="preserve">店）</t>
    </r>
  </si>
  <si>
    <r>
      <rPr>
        <sz val="10"/>
        <rFont val="WenQuanYi Zen Hei"/>
        <family val="2"/>
      </rPr>
      <t xml:space="preserve">【バブルチャート】</t>
    </r>
    <r>
      <rPr>
        <sz val="10"/>
        <rFont val="Noto Sans CJK SC"/>
        <family val="2"/>
        <charset val="1"/>
      </rPr>
      <t xml:space="preserve">P3 </t>
    </r>
    <r>
      <rPr>
        <sz val="10"/>
        <rFont val="WenQuanYi Zen Hei"/>
        <family val="2"/>
      </rPr>
      <t xml:space="preserve">バブルの</t>
    </r>
    <r>
      <rPr>
        <sz val="10"/>
        <rFont val="Noto Sans CJK SC"/>
        <family val="2"/>
        <charset val="1"/>
      </rPr>
      <t xml:space="preserve">X</t>
    </r>
    <r>
      <rPr>
        <sz val="10"/>
        <rFont val="WenQuanYi Zen Hei"/>
        <family val="2"/>
      </rPr>
      <t xml:space="preserve">・</t>
    </r>
    <r>
      <rPr>
        <sz val="10"/>
        <rFont val="Noto Sans CJK SC"/>
        <family val="2"/>
        <charset val="1"/>
      </rPr>
      <t xml:space="preserve">Y</t>
    </r>
    <r>
      <rPr>
        <sz val="10"/>
        <rFont val="WenQuanYi Zen Hei"/>
        <family val="2"/>
      </rPr>
      <t xml:space="preserve">値</t>
    </r>
  </si>
  <si>
    <r>
      <rPr>
        <sz val="10"/>
        <rFont val="WenQuanYi Zen Hei"/>
        <family val="2"/>
      </rPr>
      <t xml:space="preserve">湾岸タワー（</t>
    </r>
    <r>
      <rPr>
        <sz val="10"/>
        <rFont val="Meiryo UI"/>
        <family val="0"/>
        <charset val="1"/>
      </rPr>
      <t xml:space="preserve">9.2</t>
    </r>
    <r>
      <rPr>
        <sz val="10"/>
        <rFont val="WenQuanYi Zen Hei"/>
        <family val="2"/>
      </rPr>
      <t xml:space="preserve">万人・</t>
    </r>
    <r>
      <rPr>
        <sz val="10"/>
        <rFont val="Meiryo UI"/>
        <family val="0"/>
        <charset val="1"/>
      </rPr>
      <t xml:space="preserve">3</t>
    </r>
    <r>
      <rPr>
        <sz val="10"/>
        <rFont val="WenQuanYi Zen Hei"/>
        <family val="2"/>
      </rPr>
      <t xml:space="preserve">店）、南公園通り（</t>
    </r>
    <r>
      <rPr>
        <sz val="10"/>
        <rFont val="Meiryo UI"/>
        <family val="0"/>
        <charset val="1"/>
      </rPr>
      <t xml:space="preserve">5.1</t>
    </r>
    <r>
      <rPr>
        <sz val="10"/>
        <rFont val="WenQuanYi Zen Hei"/>
        <family val="2"/>
      </rPr>
      <t xml:space="preserve">万人・</t>
    </r>
    <r>
      <rPr>
        <sz val="10"/>
        <rFont val="Meiryo UI"/>
        <family val="0"/>
        <charset val="1"/>
      </rPr>
      <t xml:space="preserve">2</t>
    </r>
    <r>
      <rPr>
        <sz val="10"/>
        <rFont val="WenQuanYi Zen Hei"/>
        <family val="2"/>
      </rPr>
      <t xml:space="preserve">店）、北大学前（</t>
    </r>
    <r>
      <rPr>
        <sz val="10"/>
        <rFont val="Meiryo UI"/>
        <family val="0"/>
        <charset val="1"/>
      </rPr>
      <t xml:space="preserve">6.3</t>
    </r>
    <r>
      <rPr>
        <sz val="10"/>
        <rFont val="WenQuanYi Zen Hei"/>
        <family val="2"/>
      </rPr>
      <t xml:space="preserve">万人・</t>
    </r>
    <r>
      <rPr>
        <sz val="10"/>
        <rFont val="Meiryo UI"/>
        <family val="0"/>
        <charset val="1"/>
      </rPr>
      <t xml:space="preserve">4</t>
    </r>
    <r>
      <rPr>
        <sz val="10"/>
        <rFont val="WenQuanYi Zen Hei"/>
        <family val="2"/>
      </rPr>
      <t xml:space="preserve">店）</t>
    </r>
  </si>
  <si>
    <r>
      <rPr>
        <sz val="11"/>
        <color theme="1"/>
        <rFont val="WenQuanYi Zen Hei"/>
        <family val="2"/>
      </rPr>
      <t xml:space="preserve">昼間人口が</t>
    </r>
    <r>
      <rPr>
        <sz val="11"/>
        <color theme="1"/>
        <rFont val="Calibri"/>
        <family val="2"/>
        <charset val="1"/>
      </rPr>
      <t xml:space="preserve">10</t>
    </r>
    <r>
      <rPr>
        <sz val="11"/>
        <color theme="1"/>
        <rFont val="WenQuanYi Zen Hei"/>
        <family val="2"/>
      </rPr>
      <t xml:space="preserve">万人未満で、かつ競合店舗数が</t>
    </r>
    <r>
      <rPr>
        <sz val="11"/>
        <color theme="1"/>
        <rFont val="Calibri"/>
        <family val="2"/>
        <charset val="1"/>
      </rPr>
      <t xml:space="preserve">5</t>
    </r>
    <r>
      <rPr>
        <sz val="11"/>
        <color theme="1"/>
        <rFont val="WenQuanYi Zen Hei"/>
        <family val="2"/>
      </rPr>
      <t xml:space="preserve">店未満の候補地は次の</t>
    </r>
    <r>
      <rPr>
        <sz val="11"/>
        <color theme="1"/>
        <rFont val="Calibri"/>
        <family val="2"/>
        <charset val="1"/>
      </rPr>
      <t xml:space="preserve">3</t>
    </r>
    <r>
      <rPr>
        <sz val="11"/>
        <color theme="1"/>
        <rFont val="WenQuanYi Zen Hei"/>
        <family val="2"/>
      </rPr>
      <t xml:space="preserve">か所です（スライド</t>
    </r>
    <r>
      <rPr>
        <sz val="11"/>
        <color theme="1"/>
        <rFont val="Calibri"/>
        <family val="2"/>
        <charset val="1"/>
      </rPr>
      <t xml:space="preserve">3</t>
    </r>
    <r>
      <rPr>
        <sz val="11"/>
        <color theme="1"/>
        <rFont val="WenQuanYi Zen Hei"/>
        <family val="2"/>
      </rPr>
      <t xml:space="preserve">のバブルチャートのデータより）。
</t>
    </r>
    <r>
      <rPr>
        <sz val="11"/>
        <color theme="1"/>
        <rFont val="Calibri"/>
        <family val="2"/>
        <charset val="1"/>
      </rPr>
      <t xml:space="preserve">| </t>
    </r>
    <r>
      <rPr>
        <sz val="11"/>
        <color theme="1"/>
        <rFont val="WenQuanYi Zen Hei"/>
        <family val="2"/>
      </rPr>
      <t xml:space="preserve">候補地 </t>
    </r>
    <r>
      <rPr>
        <sz val="11"/>
        <color theme="1"/>
        <rFont val="Calibri"/>
        <family val="2"/>
        <charset val="1"/>
      </rPr>
      <t xml:space="preserve">| </t>
    </r>
    <r>
      <rPr>
        <sz val="11"/>
        <color theme="1"/>
        <rFont val="WenQuanYi Zen Hei"/>
        <family val="2"/>
      </rPr>
      <t xml:space="preserve">昼間人口 </t>
    </r>
    <r>
      <rPr>
        <sz val="11"/>
        <color theme="1"/>
        <rFont val="Calibri"/>
        <family val="2"/>
        <charset val="1"/>
      </rPr>
      <t xml:space="preserve">| </t>
    </r>
    <r>
      <rPr>
        <sz val="11"/>
        <color theme="1"/>
        <rFont val="WenQuanYi Zen Hei"/>
        <family val="2"/>
      </rPr>
      <t xml:space="preserve">競合店舗数 </t>
    </r>
    <r>
      <rPr>
        <sz val="11"/>
        <color theme="1"/>
        <rFont val="Calibri"/>
        <family val="2"/>
        <charset val="1"/>
      </rPr>
      <t xml:space="preserve">|
| --- | --- | --- |
| </t>
    </r>
    <r>
      <rPr>
        <sz val="11"/>
        <color theme="1"/>
        <rFont val="WenQuanYi Zen Hei"/>
        <family val="2"/>
      </rPr>
      <t xml:space="preserve">湾岸タワー </t>
    </r>
    <r>
      <rPr>
        <sz val="11"/>
        <color theme="1"/>
        <rFont val="Calibri"/>
        <family val="2"/>
        <charset val="1"/>
      </rPr>
      <t xml:space="preserve">| 9.2</t>
    </r>
    <r>
      <rPr>
        <sz val="11"/>
        <color theme="1"/>
        <rFont val="WenQuanYi Zen Hei"/>
        <family val="2"/>
      </rPr>
      <t xml:space="preserve">万人 </t>
    </r>
    <r>
      <rPr>
        <sz val="11"/>
        <color theme="1"/>
        <rFont val="Calibri"/>
        <family val="2"/>
        <charset val="1"/>
      </rPr>
      <t xml:space="preserve">| 3</t>
    </r>
    <r>
      <rPr>
        <sz val="11"/>
        <color theme="1"/>
        <rFont val="WenQuanYi Zen Hei"/>
        <family val="2"/>
      </rPr>
      <t xml:space="preserve">店 </t>
    </r>
    <r>
      <rPr>
        <sz val="11"/>
        <color theme="1"/>
        <rFont val="Calibri"/>
        <family val="2"/>
        <charset val="1"/>
      </rPr>
      <t xml:space="preserve">|
| </t>
    </r>
    <r>
      <rPr>
        <sz val="11"/>
        <color theme="1"/>
        <rFont val="WenQuanYi Zen Hei"/>
        <family val="2"/>
      </rPr>
      <t xml:space="preserve">南公園通り </t>
    </r>
    <r>
      <rPr>
        <sz val="11"/>
        <color theme="1"/>
        <rFont val="Calibri"/>
        <family val="2"/>
        <charset val="1"/>
      </rPr>
      <t xml:space="preserve">| 5.1</t>
    </r>
    <r>
      <rPr>
        <sz val="11"/>
        <color theme="1"/>
        <rFont val="WenQuanYi Zen Hei"/>
        <family val="2"/>
      </rPr>
      <t xml:space="preserve">万人 </t>
    </r>
    <r>
      <rPr>
        <sz val="11"/>
        <color theme="1"/>
        <rFont val="Calibri"/>
        <family val="2"/>
        <charset val="1"/>
      </rPr>
      <t xml:space="preserve">| 2</t>
    </r>
    <r>
      <rPr>
        <sz val="11"/>
        <color theme="1"/>
        <rFont val="WenQuanYi Zen Hei"/>
        <family val="2"/>
      </rPr>
      <t xml:space="preserve">店 </t>
    </r>
    <r>
      <rPr>
        <sz val="11"/>
        <color theme="1"/>
        <rFont val="Calibri"/>
        <family val="2"/>
        <charset val="1"/>
      </rPr>
      <t xml:space="preserve">|
| </t>
    </r>
    <r>
      <rPr>
        <sz val="11"/>
        <color theme="1"/>
        <rFont val="WenQuanYi Zen Hei"/>
        <family val="2"/>
      </rPr>
      <t xml:space="preserve">北大学前 </t>
    </r>
    <r>
      <rPr>
        <sz val="11"/>
        <color theme="1"/>
        <rFont val="Calibri"/>
        <family val="2"/>
        <charset val="1"/>
      </rPr>
      <t xml:space="preserve">| 6.3</t>
    </r>
    <r>
      <rPr>
        <sz val="11"/>
        <color theme="1"/>
        <rFont val="WenQuanYi Zen Hei"/>
        <family val="2"/>
      </rPr>
      <t xml:space="preserve">万人 </t>
    </r>
    <r>
      <rPr>
        <sz val="11"/>
        <color theme="1"/>
        <rFont val="Calibri"/>
        <family val="2"/>
        <charset val="1"/>
      </rPr>
      <t xml:space="preserve">| 4</t>
    </r>
    <r>
      <rPr>
        <sz val="11"/>
        <color theme="1"/>
        <rFont val="WenQuanYi Zen Hei"/>
        <family val="2"/>
      </rPr>
      <t xml:space="preserve">店 </t>
    </r>
    <r>
      <rPr>
        <sz val="11"/>
        <color theme="1"/>
        <rFont val="Calibri"/>
        <family val="2"/>
        <charset val="1"/>
      </rPr>
      <t xml:space="preserve">|
※</t>
    </r>
    <r>
      <rPr>
        <sz val="11"/>
        <color theme="1"/>
        <rFont val="WenQuanYi Zen Hei"/>
        <family val="2"/>
      </rPr>
      <t xml:space="preserve">中央駅前は昼間人口</t>
    </r>
    <r>
      <rPr>
        <sz val="11"/>
        <color theme="1"/>
        <rFont val="Calibri"/>
        <family val="2"/>
        <charset val="1"/>
      </rPr>
      <t xml:space="preserve">18.5</t>
    </r>
    <r>
      <rPr>
        <sz val="11"/>
        <color theme="1"/>
        <rFont val="WenQuanYi Zen Hei"/>
        <family val="2"/>
      </rPr>
      <t xml:space="preserve">万人・競合</t>
    </r>
    <r>
      <rPr>
        <sz val="11"/>
        <color theme="1"/>
        <rFont val="Calibri"/>
        <family val="2"/>
        <charset val="1"/>
      </rPr>
      <t xml:space="preserve">12</t>
    </r>
    <r>
      <rPr>
        <sz val="11"/>
        <color theme="1"/>
        <rFont val="WenQuanYi Zen Hei"/>
        <family val="2"/>
      </rPr>
      <t xml:space="preserve">店、東口商店街は昼間人口</t>
    </r>
    <r>
      <rPr>
        <sz val="11"/>
        <color theme="1"/>
        <rFont val="Calibri"/>
        <family val="2"/>
        <charset val="1"/>
      </rPr>
      <t xml:space="preserve">7.4</t>
    </r>
    <r>
      <rPr>
        <sz val="11"/>
        <color theme="1"/>
        <rFont val="WenQuanYi Zen Hei"/>
        <family val="2"/>
      </rPr>
      <t xml:space="preserve">万人ですが競合が</t>
    </r>
    <r>
      <rPr>
        <sz val="11"/>
        <color theme="1"/>
        <rFont val="Calibri"/>
        <family val="2"/>
        <charset val="1"/>
      </rPr>
      <t xml:space="preserve">6</t>
    </r>
    <r>
      <rPr>
        <sz val="11"/>
        <color theme="1"/>
        <rFont val="WenQuanYi Zen Hei"/>
        <family val="2"/>
      </rPr>
      <t xml:space="preserve">店のため、どちらも条件に当てはまりません。</t>
    </r>
  </si>
  <si>
    <t xml:space="preserve">06-05</t>
  </si>
  <si>
    <t xml:space="preserve">P4</t>
  </si>
  <si>
    <t xml:space="preserve">画像</t>
  </si>
  <si>
    <t xml:space="preserve">現地写真に写っている看板に書かれている内容をすべて答えてください。</t>
  </si>
  <si>
    <r>
      <rPr>
        <sz val="10"/>
        <rFont val="WenQuanYi Zen Hei"/>
        <family val="2"/>
      </rPr>
      <t xml:space="preserve">「テナント募集」「</t>
    </r>
    <r>
      <rPr>
        <sz val="10"/>
        <rFont val="Noto Sans CJK SC"/>
        <family val="2"/>
        <charset val="1"/>
      </rPr>
      <t xml:space="preserve">1F 82</t>
    </r>
    <r>
      <rPr>
        <sz val="10"/>
        <rFont val="WenQuanYi Zen Hei"/>
        <family val="2"/>
      </rPr>
      <t xml:space="preserve">㎡」のみ。（元画像の右側にある『工事予定 </t>
    </r>
    <r>
      <rPr>
        <sz val="10"/>
        <rFont val="Noto Sans CJK SC"/>
        <family val="2"/>
        <charset val="1"/>
      </rPr>
      <t xml:space="preserve">2027</t>
    </r>
    <r>
      <rPr>
        <sz val="10"/>
        <rFont val="WenQuanYi Zen Hei"/>
        <family val="2"/>
      </rPr>
      <t xml:space="preserve">年</t>
    </r>
    <r>
      <rPr>
        <sz val="10"/>
        <rFont val="Noto Sans CJK SC"/>
        <family val="2"/>
        <charset val="1"/>
      </rPr>
      <t xml:space="preserve">3</t>
    </r>
    <r>
      <rPr>
        <sz val="10"/>
        <rFont val="WenQuanYi Zen Hei"/>
        <family val="2"/>
      </rPr>
      <t xml:space="preserve">月まで』はトリミングで表示されていないため含めない）</t>
    </r>
  </si>
  <si>
    <r>
      <rPr>
        <sz val="10"/>
        <rFont val="WenQuanYi Zen Hei"/>
        <family val="2"/>
      </rPr>
      <t xml:space="preserve">表示部分の看板のみ</t>
    </r>
    <r>
      <rPr>
        <sz val="10"/>
        <rFont val="Noto Sans CJK SC"/>
        <family val="2"/>
        <charset val="1"/>
      </rPr>
      <t xml:space="preserve">=OK</t>
    </r>
    <r>
      <rPr>
        <sz val="10"/>
        <rFont val="WenQuanYi Zen Hei"/>
        <family val="2"/>
      </rPr>
      <t xml:space="preserve">／トリミングで隠れた看板も挙げる</t>
    </r>
    <r>
      <rPr>
        <sz val="10"/>
        <rFont val="Noto Sans CJK SC"/>
        <family val="2"/>
        <charset val="1"/>
      </rPr>
      <t xml:space="preserve">=NG</t>
    </r>
  </si>
  <si>
    <r>
      <rPr>
        <sz val="10"/>
        <rFont val="WenQuanYi Zen Hei"/>
        <family val="2"/>
      </rPr>
      <t xml:space="preserve">【画像（トリミング）】</t>
    </r>
    <r>
      <rPr>
        <sz val="10"/>
        <rFont val="Noto Sans CJK SC"/>
        <family val="2"/>
        <charset val="1"/>
      </rPr>
      <t xml:space="preserve">P4 </t>
    </r>
    <r>
      <rPr>
        <sz val="10"/>
        <rFont val="WenQuanYi Zen Hei"/>
        <family val="2"/>
      </rPr>
      <t xml:space="preserve">画像（右</t>
    </r>
    <r>
      <rPr>
        <sz val="10"/>
        <rFont val="Noto Sans CJK SC"/>
        <family val="2"/>
        <charset val="1"/>
      </rPr>
      <t xml:space="preserve">38%</t>
    </r>
    <r>
      <rPr>
        <sz val="10"/>
        <rFont val="WenQuanYi Zen Hei"/>
        <family val="2"/>
      </rPr>
      <t xml:space="preserve">をトリミング）</t>
    </r>
  </si>
  <si>
    <r>
      <rPr>
        <sz val="10"/>
        <rFont val="WenQuanYi Zen Hei"/>
        <family val="2"/>
      </rPr>
      <t xml:space="preserve">「テナント募集」「</t>
    </r>
    <r>
      <rPr>
        <sz val="10"/>
        <rFont val="Meiryo UI"/>
        <family val="0"/>
        <charset val="1"/>
      </rPr>
      <t xml:space="preserve">1F 82</t>
    </r>
    <r>
      <rPr>
        <sz val="10"/>
        <rFont val="WenQuanYi Zen Hei"/>
        <family val="2"/>
      </rPr>
      <t xml:space="preserve">㎡」のみ</t>
    </r>
  </si>
  <si>
    <r>
      <rPr>
        <sz val="10"/>
        <rFont val="WenQuanYi Zen Hei"/>
        <family val="2"/>
      </rPr>
      <t xml:space="preserve">トリミング部分の看板は挙げていない（</t>
    </r>
    <r>
      <rPr>
        <sz val="10"/>
        <rFont val="Meiryo UI"/>
        <family val="0"/>
        <charset val="1"/>
      </rPr>
      <t xml:space="preserve">MD</t>
    </r>
    <r>
      <rPr>
        <sz val="10"/>
        <rFont val="WenQuanYi Zen Hei"/>
        <family val="2"/>
      </rPr>
      <t xml:space="preserve">にもトリミング部分の記載なし）</t>
    </r>
  </si>
  <si>
    <r>
      <rPr>
        <sz val="11"/>
        <color theme="1"/>
        <rFont val="WenQuanYi Zen Hei"/>
        <family val="2"/>
      </rPr>
      <t xml:space="preserve">現地写真（スライド</t>
    </r>
    <r>
      <rPr>
        <sz val="11"/>
        <color theme="1"/>
        <rFont val="Calibri"/>
        <family val="2"/>
        <charset val="1"/>
      </rPr>
      <t xml:space="preserve">4</t>
    </r>
    <r>
      <rPr>
        <sz val="11"/>
        <color theme="1"/>
        <rFont val="WenQuanYi Zen Hei"/>
        <family val="2"/>
      </rPr>
      <t xml:space="preserve">「候補地② 湾岸タワー</t>
    </r>
    <r>
      <rPr>
        <sz val="11"/>
        <color theme="1"/>
        <rFont val="Calibri"/>
        <family val="2"/>
        <charset val="1"/>
      </rPr>
      <t xml:space="preserve">1</t>
    </r>
    <r>
      <rPr>
        <sz val="11"/>
        <color theme="1"/>
        <rFont val="WenQuanYi Zen Hei"/>
        <family val="2"/>
      </rPr>
      <t xml:space="preserve">階 現地写真」）に写っている看板には、「テナント募集　</t>
    </r>
    <r>
      <rPr>
        <sz val="11"/>
        <color theme="1"/>
        <rFont val="Calibri"/>
        <family val="2"/>
        <charset val="1"/>
      </rPr>
      <t xml:space="preserve">1F 82</t>
    </r>
    <r>
      <rPr>
        <sz val="11"/>
        <color theme="1"/>
        <rFont val="WenQuanYi Zen Hei"/>
        <family val="2"/>
      </rPr>
      <t xml:space="preserve">㎡」と書かれています。
</t>
    </r>
    <r>
      <rPr>
        <sz val="11"/>
        <color theme="1"/>
        <rFont val="Calibri"/>
        <family val="2"/>
        <charset val="1"/>
      </rPr>
      <t xml:space="preserve">- </t>
    </r>
    <r>
      <rPr>
        <sz val="11"/>
        <color theme="1"/>
        <rFont val="WenQuanYi Zen Hei"/>
        <family val="2"/>
      </rPr>
      <t xml:space="preserve">看板の形状：赤枠の看板
</t>
    </r>
    <r>
      <rPr>
        <sz val="11"/>
        <color theme="1"/>
        <rFont val="Calibri"/>
        <family val="2"/>
        <charset val="1"/>
      </rPr>
      <t xml:space="preserve">- </t>
    </r>
    <r>
      <rPr>
        <sz val="11"/>
        <color theme="1"/>
        <rFont val="WenQuanYi Zen Hei"/>
        <family val="2"/>
      </rPr>
      <t xml:space="preserve">掲示場所：湾岸タワー</t>
    </r>
    <r>
      <rPr>
        <sz val="11"/>
        <color theme="1"/>
        <rFont val="Calibri"/>
        <family val="2"/>
        <charset val="1"/>
      </rPr>
      <t xml:space="preserve">1</t>
    </r>
    <r>
      <rPr>
        <sz val="11"/>
        <color theme="1"/>
        <rFont val="WenQuanYi Zen Hei"/>
        <family val="2"/>
      </rPr>
      <t xml:space="preserve">階のガラス張りの区画
</t>
    </r>
    <r>
      <rPr>
        <sz val="11"/>
        <color theme="1"/>
        <rFont val="Calibri"/>
        <family val="2"/>
        <charset val="1"/>
      </rPr>
      <t xml:space="preserve">- </t>
    </r>
    <r>
      <rPr>
        <sz val="11"/>
        <color theme="1"/>
        <rFont val="WenQuanYi Zen Hei"/>
        <family val="2"/>
      </rPr>
      <t xml:space="preserve">記載内容：「テナント募集」「</t>
    </r>
    <r>
      <rPr>
        <sz val="11"/>
        <color theme="1"/>
        <rFont val="Calibri"/>
        <family val="2"/>
        <charset val="1"/>
      </rPr>
      <t xml:space="preserve">1F</t>
    </r>
    <r>
      <rPr>
        <sz val="11"/>
        <color theme="1"/>
        <rFont val="WenQuanYi Zen Hei"/>
        <family val="2"/>
      </rPr>
      <t xml:space="preserve">」「</t>
    </r>
    <r>
      <rPr>
        <sz val="11"/>
        <color theme="1"/>
        <rFont val="Calibri"/>
        <family val="2"/>
        <charset val="1"/>
      </rPr>
      <t xml:space="preserve">82</t>
    </r>
    <r>
      <rPr>
        <sz val="11"/>
        <color theme="1"/>
        <rFont val="WenQuanYi Zen Hei"/>
        <family val="2"/>
      </rPr>
      <t xml:space="preserve">㎡」（この</t>
    </r>
    <r>
      <rPr>
        <sz val="11"/>
        <color theme="1"/>
        <rFont val="Calibri"/>
        <family val="2"/>
        <charset val="1"/>
      </rPr>
      <t xml:space="preserve">82</t>
    </r>
    <r>
      <rPr>
        <sz val="11"/>
        <color theme="1"/>
        <rFont val="WenQuanYi Zen Hei"/>
        <family val="2"/>
      </rPr>
      <t xml:space="preserve">㎡はスライド</t>
    </r>
    <r>
      <rPr>
        <sz val="11"/>
        <color theme="1"/>
        <rFont val="Calibri"/>
        <family val="2"/>
        <charset val="1"/>
      </rPr>
      <t xml:space="preserve">8</t>
    </r>
    <r>
      <rPr>
        <sz val="11"/>
        <color theme="1"/>
        <rFont val="WenQuanYi Zen Hei"/>
        <family val="2"/>
      </rPr>
      <t xml:space="preserve">の店舗面積</t>
    </r>
    <r>
      <rPr>
        <sz val="11"/>
        <color theme="1"/>
        <rFont val="Calibri"/>
        <family val="2"/>
        <charset val="1"/>
      </rPr>
      <t xml:space="preserve">82m²</t>
    </r>
    <r>
      <rPr>
        <sz val="11"/>
        <color theme="1"/>
        <rFont val="WenQuanYi Zen Hei"/>
        <family val="2"/>
      </rPr>
      <t xml:space="preserve">と一致）
なお、資料に記載されている看板の文字はこれだけです。</t>
    </r>
  </si>
  <si>
    <t xml:space="preserve">06-06</t>
  </si>
  <si>
    <t xml:space="preserve">スライド上に見えない情報</t>
  </si>
  <si>
    <t xml:space="preserve">現地写真はいつ撮影されたものですか？</t>
  </si>
  <si>
    <r>
      <rPr>
        <sz val="10"/>
        <rFont val="Meiryo UI"/>
        <family val="0"/>
        <charset val="1"/>
      </rPr>
      <t xml:space="preserve">2026</t>
    </r>
    <r>
      <rPr>
        <sz val="10"/>
        <rFont val="WenQuanYi Zen Hei"/>
        <family val="2"/>
      </rPr>
      <t xml:space="preserve">年</t>
    </r>
    <r>
      <rPr>
        <sz val="10"/>
        <rFont val="Meiryo UI"/>
        <family val="0"/>
        <charset val="1"/>
      </rPr>
      <t xml:space="preserve">10</t>
    </r>
    <r>
      <rPr>
        <sz val="10"/>
        <rFont val="WenQuanYi Zen Hei"/>
        <family val="2"/>
      </rPr>
      <t xml:space="preserve">月</t>
    </r>
  </si>
  <si>
    <r>
      <rPr>
        <sz val="10"/>
        <rFont val="WenQuanYi Zen Hei"/>
        <family val="2"/>
      </rPr>
      <t xml:space="preserve">【代替テキスト】</t>
    </r>
    <r>
      <rPr>
        <sz val="10"/>
        <rFont val="Noto Sans CJK SC"/>
        <family val="2"/>
        <charset val="1"/>
      </rPr>
      <t xml:space="preserve">P4 </t>
    </r>
    <r>
      <rPr>
        <sz val="10"/>
        <rFont val="WenQuanYi Zen Hei"/>
        <family val="2"/>
      </rPr>
      <t xml:space="preserve">画像の代替テキスト（スライド上には記載なし）</t>
    </r>
  </si>
  <si>
    <r>
      <rPr>
        <sz val="10"/>
        <rFont val="Meiryo UI"/>
        <family val="0"/>
        <charset val="1"/>
      </rPr>
      <t xml:space="preserve">2026</t>
    </r>
    <r>
      <rPr>
        <sz val="10"/>
        <rFont val="WenQuanYi Zen Hei"/>
        <family val="2"/>
      </rPr>
      <t xml:space="preserve">年</t>
    </r>
    <r>
      <rPr>
        <sz val="10"/>
        <rFont val="Meiryo UI"/>
        <family val="0"/>
        <charset val="1"/>
      </rPr>
      <t xml:space="preserve">10</t>
    </r>
    <r>
      <rPr>
        <sz val="10"/>
        <rFont val="WenQuanYi Zen Hei"/>
        <family val="2"/>
      </rPr>
      <t xml:space="preserve">月（代替テキストより）</t>
    </r>
  </si>
  <si>
    <r>
      <rPr>
        <sz val="11"/>
        <color theme="1"/>
        <rFont val="WenQuanYi Zen Hei"/>
        <family val="2"/>
      </rPr>
      <t xml:space="preserve">現地写真（スライド</t>
    </r>
    <r>
      <rPr>
        <sz val="11"/>
        <color theme="1"/>
        <rFont val="Calibri"/>
        <family val="2"/>
        <charset val="1"/>
      </rPr>
      <t xml:space="preserve">4</t>
    </r>
    <r>
      <rPr>
        <sz val="11"/>
        <color theme="1"/>
        <rFont val="WenQuanYi Zen Hei"/>
        <family val="2"/>
      </rPr>
      <t xml:space="preserve">、湾岸タワー</t>
    </r>
    <r>
      <rPr>
        <sz val="11"/>
        <color theme="1"/>
        <rFont val="Calibri"/>
        <family val="2"/>
        <charset val="1"/>
      </rPr>
      <t xml:space="preserve">1</t>
    </r>
    <r>
      <rPr>
        <sz val="11"/>
        <color theme="1"/>
        <rFont val="WenQuanYi Zen Hei"/>
        <family val="2"/>
      </rPr>
      <t xml:space="preserve">階の候補区画の外観）は、</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10</t>
    </r>
    <r>
      <rPr>
        <sz val="11"/>
        <color theme="1"/>
        <rFont val="WenQuanYi Zen Hei"/>
        <family val="2"/>
      </rPr>
      <t xml:space="preserve">月に撮影されたものです（画像の代替テキスト「湾岸タワー</t>
    </r>
    <r>
      <rPr>
        <sz val="11"/>
        <color theme="1"/>
        <rFont val="Calibri"/>
        <family val="2"/>
        <charset val="1"/>
      </rPr>
      <t xml:space="preserve">1</t>
    </r>
    <r>
      <rPr>
        <sz val="11"/>
        <color theme="1"/>
        <rFont val="WenQuanYi Zen Hei"/>
        <family val="2"/>
      </rPr>
      <t xml:space="preserve">階の候補区画の外観（</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10</t>
    </r>
    <r>
      <rPr>
        <sz val="11"/>
        <color theme="1"/>
        <rFont val="WenQuanYi Zen Hei"/>
        <family val="2"/>
      </rPr>
      <t xml:space="preserve">月撮影）」による）。</t>
    </r>
  </si>
  <si>
    <t xml:space="preserve">06-07</t>
  </si>
  <si>
    <t xml:space="preserve">P5</t>
  </si>
  <si>
    <t xml:space="preserve">地図上で、川の東側にある出店候補地をすべて答えてください。</t>
  </si>
  <si>
    <t xml:space="preserve">②湾岸タワー、④南公園通り</t>
  </si>
  <si>
    <r>
      <rPr>
        <sz val="10"/>
        <rFont val="WenQuanYi Zen Hei"/>
        <family val="2"/>
      </rPr>
      <t xml:space="preserve">【画像（地図）】</t>
    </r>
    <r>
      <rPr>
        <sz val="10"/>
        <rFont val="Noto Sans CJK SC"/>
        <family val="2"/>
        <charset val="1"/>
      </rPr>
      <t xml:space="preserve">P5 </t>
    </r>
    <r>
      <rPr>
        <sz val="10"/>
        <rFont val="WenQuanYi Zen Hei"/>
        <family val="2"/>
      </rPr>
      <t xml:space="preserve">地図画像のピン位置＋番号表</t>
    </r>
  </si>
  <si>
    <r>
      <rPr>
        <sz val="11"/>
        <color theme="1"/>
        <rFont val="WenQuanYi Zen Hei"/>
        <family val="2"/>
      </rPr>
      <t xml:space="preserve">地図上で川の東側にある出店候補地（青丸）は、次の</t>
    </r>
    <r>
      <rPr>
        <sz val="11"/>
        <color theme="1"/>
        <rFont val="Calibri"/>
        <family val="2"/>
        <charset val="1"/>
      </rPr>
      <t xml:space="preserve">2</t>
    </r>
    <r>
      <rPr>
        <sz val="11"/>
        <color theme="1"/>
        <rFont val="WenQuanYi Zen Hei"/>
        <family val="2"/>
      </rPr>
      <t xml:space="preserve">か所です。
</t>
    </r>
    <r>
      <rPr>
        <sz val="11"/>
        <color theme="1"/>
        <rFont val="Calibri"/>
        <family val="2"/>
        <charset val="1"/>
      </rPr>
      <t xml:space="preserve">- ② </t>
    </r>
    <r>
      <rPr>
        <sz val="11"/>
        <color theme="1"/>
        <rFont val="WenQuanYi Zen Hei"/>
        <family val="2"/>
      </rPr>
      <t xml:space="preserve">湾岸タワー（地図の北東。線路より北で、川より東）
</t>
    </r>
    <r>
      <rPr>
        <sz val="11"/>
        <color theme="1"/>
        <rFont val="Calibri"/>
        <family val="2"/>
        <charset val="1"/>
      </rPr>
      <t xml:space="preserve">- ④ </t>
    </r>
    <r>
      <rPr>
        <sz val="11"/>
        <color theme="1"/>
        <rFont val="WenQuanYi Zen Hei"/>
        <family val="2"/>
      </rPr>
      <t xml:space="preserve">南公園通り（地図の南東。線路より南で、川より東）
なお、①北大学前と⑤中央駅前は川の西側です。東口商店街は中央駅の東約</t>
    </r>
    <r>
      <rPr>
        <sz val="11"/>
        <color theme="1"/>
        <rFont val="Calibri"/>
        <family val="2"/>
        <charset val="1"/>
      </rPr>
      <t xml:space="preserve">2km</t>
    </r>
    <r>
      <rPr>
        <sz val="11"/>
        <color theme="1"/>
        <rFont val="WenQuanYi Zen Hei"/>
        <family val="2"/>
      </rPr>
      <t xml:space="preserve">にありますが、地図の範囲外のため地図上には載っていません。</t>
    </r>
  </si>
  <si>
    <t xml:space="preserve">06-08</t>
  </si>
  <si>
    <t xml:space="preserve">既存店に最も近い出店候補地はどれですか？</t>
  </si>
  <si>
    <t xml:space="preserve">⑤中央駅前</t>
  </si>
  <si>
    <r>
      <rPr>
        <sz val="10"/>
        <rFont val="WenQuanYi Zen Hei"/>
        <family val="2"/>
      </rPr>
      <t xml:space="preserve">【画像（地図）】</t>
    </r>
    <r>
      <rPr>
        <sz val="10"/>
        <rFont val="Noto Sans CJK SC"/>
        <family val="2"/>
        <charset val="1"/>
      </rPr>
      <t xml:space="preserve">P5 </t>
    </r>
    <r>
      <rPr>
        <sz val="10"/>
        <rFont val="WenQuanYi Zen Hei"/>
        <family val="2"/>
      </rPr>
      <t xml:space="preserve">地図画像のピン位置</t>
    </r>
  </si>
  <si>
    <r>
      <rPr>
        <sz val="11"/>
        <color theme="1"/>
        <rFont val="WenQuanYi Zen Hei"/>
        <family val="2"/>
      </rPr>
      <t xml:space="preserve">既存店（③モリノカフェ 中央店）に最も近い出店候補地は、</t>
    </r>
    <r>
      <rPr>
        <sz val="11"/>
        <color theme="1"/>
        <rFont val="Calibri"/>
        <family val="2"/>
        <charset val="1"/>
      </rPr>
      <t xml:space="preserve">**⑤</t>
    </r>
    <r>
      <rPr>
        <sz val="11"/>
        <color theme="1"/>
        <rFont val="WenQuanYi Zen Hei"/>
        <family val="2"/>
      </rPr>
      <t xml:space="preserve">中央駅前</t>
    </r>
    <r>
      <rPr>
        <sz val="11"/>
        <color theme="1"/>
        <rFont val="Calibri"/>
        <family val="2"/>
        <charset val="1"/>
      </rPr>
      <t xml:space="preserve">**</t>
    </r>
    <r>
      <rPr>
        <sz val="11"/>
        <color theme="1"/>
        <rFont val="WenQuanYi Zen Hei"/>
        <family val="2"/>
      </rPr>
      <t xml:space="preserve">です。
根拠（スライド</t>
    </r>
    <r>
      <rPr>
        <sz val="11"/>
        <color theme="1"/>
        <rFont val="Calibri"/>
        <family val="2"/>
        <charset val="1"/>
      </rPr>
      <t xml:space="preserve">5</t>
    </r>
    <r>
      <rPr>
        <sz val="11"/>
        <color theme="1"/>
        <rFont val="WenQuanYi Zen Hei"/>
        <family val="2"/>
      </rPr>
      <t xml:space="preserve">「候補地の位置」の地図より）：
</t>
    </r>
    <r>
      <rPr>
        <sz val="11"/>
        <color theme="1"/>
        <rFont val="Calibri"/>
        <family val="2"/>
        <charset val="1"/>
      </rPr>
      <t xml:space="preserve">- ⑤</t>
    </r>
    <r>
      <rPr>
        <sz val="11"/>
        <color theme="1"/>
        <rFont val="WenQuanYi Zen Hei"/>
        <family val="2"/>
      </rPr>
      <t xml:space="preserve">中央駅前は中央駅のすぐ南、川より西にあります。
</t>
    </r>
    <r>
      <rPr>
        <sz val="11"/>
        <color theme="1"/>
        <rFont val="Calibri"/>
        <family val="2"/>
        <charset val="1"/>
      </rPr>
      <t xml:space="preserve">- ③</t>
    </r>
    <r>
      <rPr>
        <sz val="11"/>
        <color theme="1"/>
        <rFont val="WenQuanYi Zen Hei"/>
        <family val="2"/>
      </rPr>
      <t xml:space="preserve">モリノカフェ 中央店（既存店）は「⑤中央駅前のさらに南西」にあり、中央駅前の近くに位置しています。
</t>
    </r>
    <r>
      <rPr>
        <sz val="11"/>
        <color theme="1"/>
        <rFont val="Calibri"/>
        <family val="2"/>
        <charset val="1"/>
      </rPr>
      <t xml:space="preserve">- </t>
    </r>
    <r>
      <rPr>
        <sz val="11"/>
        <color theme="1"/>
        <rFont val="WenQuanYi Zen Hei"/>
        <family val="2"/>
      </rPr>
      <t xml:space="preserve">ほかの候補地はもっと離れています。①北大学前は地図の北西（線路より北）、②湾岸タワーは北東（線路より北・川より東）、④南公園通りは南東（川より東）にあり、東口商店街は地図の範囲外（中央駅の東約</t>
    </r>
    <r>
      <rPr>
        <sz val="11"/>
        <color theme="1"/>
        <rFont val="Calibri"/>
        <family val="2"/>
        <charset val="1"/>
      </rPr>
      <t xml:space="preserve">2km</t>
    </r>
    <r>
      <rPr>
        <sz val="11"/>
        <color theme="1"/>
        <rFont val="WenQuanYi Zen Hei"/>
        <family val="2"/>
      </rPr>
      <t xml:space="preserve">）です。
※地図に距離の数値は書かれていないため、各地点の位置関係から判断しています。</t>
    </r>
  </si>
  <si>
    <t xml:space="preserve">06-09</t>
  </si>
  <si>
    <t xml:space="preserve">P6</t>
  </si>
  <si>
    <t xml:space="preserve">表</t>
  </si>
  <si>
    <t xml:space="preserve">収支シミュレーションで『優先候補』に分類されている候補地をすべて答えてください。</t>
  </si>
  <si>
    <t xml:space="preserve">湾岸タワー、中央駅前</t>
  </si>
  <si>
    <r>
      <rPr>
        <sz val="10"/>
        <rFont val="WenQuanYi Zen Hei"/>
        <family val="2"/>
      </rPr>
      <t xml:space="preserve">【結合セル】</t>
    </r>
    <r>
      <rPr>
        <sz val="10"/>
        <rFont val="Noto Sans CJK SC"/>
        <family val="2"/>
        <charset val="1"/>
      </rPr>
      <t xml:space="preserve">P6 </t>
    </r>
    <r>
      <rPr>
        <sz val="10"/>
        <rFont val="WenQuanYi Zen Hei"/>
        <family val="2"/>
      </rPr>
      <t xml:space="preserve">縦に結合されたセル</t>
    </r>
  </si>
  <si>
    <r>
      <rPr>
        <sz val="11"/>
        <color theme="1"/>
        <rFont val="WenQuanYi Zen Hei"/>
        <family val="2"/>
      </rPr>
      <t xml:space="preserve">収支シミュレーション（スライド</t>
    </r>
    <r>
      <rPr>
        <sz val="11"/>
        <color theme="1"/>
        <rFont val="Calibri"/>
        <family val="2"/>
        <charset val="1"/>
      </rPr>
      <t xml:space="preserve">6</t>
    </r>
    <r>
      <rPr>
        <sz val="11"/>
        <color theme="1"/>
        <rFont val="WenQuanYi Zen Hei"/>
        <family val="2"/>
      </rPr>
      <t xml:space="preserve">）で「優先候補」に分類されている候補地は次の</t>
    </r>
    <r>
      <rPr>
        <sz val="11"/>
        <color theme="1"/>
        <rFont val="Calibri"/>
        <family val="2"/>
        <charset val="1"/>
      </rPr>
      <t xml:space="preserve">2</t>
    </r>
    <r>
      <rPr>
        <sz val="11"/>
        <color theme="1"/>
        <rFont val="WenQuanYi Zen Hei"/>
        <family val="2"/>
      </rPr>
      <t xml:space="preserve">つです。
</t>
    </r>
    <r>
      <rPr>
        <sz val="11"/>
        <color theme="1"/>
        <rFont val="Calibri"/>
        <family val="2"/>
        <charset val="1"/>
      </rPr>
      <t xml:space="preserve">- </t>
    </r>
    <r>
      <rPr>
        <sz val="11"/>
        <color theme="1"/>
        <rFont val="WenQuanYi Zen Hei"/>
        <family val="2"/>
      </rPr>
      <t xml:space="preserve">湾岸タワー（投資回収</t>
    </r>
    <r>
      <rPr>
        <sz val="11"/>
        <color theme="1"/>
        <rFont val="Calibri"/>
        <family val="2"/>
        <charset val="1"/>
      </rPr>
      <t xml:space="preserve">3.8</t>
    </r>
    <r>
      <rPr>
        <sz val="11"/>
        <color theme="1"/>
        <rFont val="WenQuanYi Zen Hei"/>
        <family val="2"/>
      </rPr>
      <t xml:space="preserve">年で最短）
</t>
    </r>
    <r>
      <rPr>
        <sz val="11"/>
        <color theme="1"/>
        <rFont val="Calibri"/>
        <family val="2"/>
        <charset val="1"/>
      </rPr>
      <t xml:space="preserve">- </t>
    </r>
    <r>
      <rPr>
        <sz val="11"/>
        <color theme="1"/>
        <rFont val="WenQuanYi Zen Hei"/>
        <family val="2"/>
      </rPr>
      <t xml:space="preserve">中央駅前（年間売上</t>
    </r>
    <r>
      <rPr>
        <sz val="11"/>
        <color theme="1"/>
        <rFont val="Calibri"/>
        <family val="2"/>
        <charset val="1"/>
      </rPr>
      <t xml:space="preserve">96</t>
    </r>
    <r>
      <rPr>
        <sz val="11"/>
        <color theme="1"/>
        <rFont val="WenQuanYi Zen Hei"/>
        <family val="2"/>
      </rPr>
      <t xml:space="preserve">百万円で最大）</t>
    </r>
  </si>
  <si>
    <t xml:space="preserve">06-10</t>
  </si>
  <si>
    <t xml:space="preserve">計算</t>
  </si>
  <si>
    <t xml:space="preserve">中央駅前の初期投資の合計はいくらですか？</t>
  </si>
  <si>
    <r>
      <rPr>
        <sz val="10"/>
        <rFont val="Meiryo UI"/>
        <family val="0"/>
        <charset val="1"/>
      </rPr>
      <t xml:space="preserve">60</t>
    </r>
    <r>
      <rPr>
        <sz val="10"/>
        <rFont val="WenQuanYi Zen Hei"/>
        <family val="2"/>
      </rPr>
      <t xml:space="preserve">百万円（内装</t>
    </r>
    <r>
      <rPr>
        <sz val="10"/>
        <rFont val="Meiryo UI"/>
        <family val="0"/>
        <charset val="1"/>
      </rPr>
      <t xml:space="preserve">42</t>
    </r>
    <r>
      <rPr>
        <sz val="10"/>
        <rFont val="WenQuanYi Zen Hei"/>
        <family val="2"/>
      </rPr>
      <t xml:space="preserve">＋設備</t>
    </r>
    <r>
      <rPr>
        <sz val="10"/>
        <rFont val="Meiryo UI"/>
        <family val="0"/>
        <charset val="1"/>
      </rPr>
      <t xml:space="preserve">18</t>
    </r>
    <r>
      <rPr>
        <sz val="10"/>
        <rFont val="WenQuanYi Zen Hei"/>
        <family val="2"/>
      </rPr>
      <t xml:space="preserve">）</t>
    </r>
  </si>
  <si>
    <r>
      <rPr>
        <sz val="10"/>
        <rFont val="WenQuanYi Zen Hei"/>
        <family val="2"/>
      </rPr>
      <t xml:space="preserve">数値が一致（丸め誤差</t>
    </r>
    <r>
      <rPr>
        <sz val="10"/>
        <rFont val="Noto Sans CJK SC"/>
        <family val="2"/>
        <charset val="1"/>
      </rPr>
      <t xml:space="preserve">±0.1</t>
    </r>
    <r>
      <rPr>
        <sz val="10"/>
        <rFont val="WenQuanYi Zen Hei"/>
        <family val="2"/>
      </rPr>
      <t xml:space="preserve">まで）</t>
    </r>
    <r>
      <rPr>
        <sz val="10"/>
        <rFont val="Noto Sans CJK SC"/>
        <family val="2"/>
        <charset val="1"/>
      </rPr>
      <t xml:space="preserve">=OK</t>
    </r>
    <r>
      <rPr>
        <sz val="10"/>
        <rFont val="WenQuanYi Zen Hei"/>
        <family val="2"/>
      </rPr>
      <t xml:space="preserve">／考え方は正しいが数値違い</t>
    </r>
    <r>
      <rPr>
        <sz val="10"/>
        <rFont val="Noto Sans CJK SC"/>
        <family val="2"/>
        <charset val="1"/>
      </rPr>
      <t xml:space="preserve">=</t>
    </r>
    <r>
      <rPr>
        <sz val="10"/>
        <rFont val="WenQuanYi Zen Hei"/>
        <family val="2"/>
      </rPr>
      <t xml:space="preserve">部分／誤り</t>
    </r>
    <r>
      <rPr>
        <sz val="10"/>
        <rFont val="Noto Sans CJK SC"/>
        <family val="2"/>
        <charset val="1"/>
      </rPr>
      <t xml:space="preserve">=NG</t>
    </r>
  </si>
  <si>
    <r>
      <rPr>
        <sz val="10"/>
        <rFont val="WenQuanYi Zen Hei"/>
        <family val="2"/>
      </rPr>
      <t xml:space="preserve">【計算】</t>
    </r>
    <r>
      <rPr>
        <sz val="10"/>
        <rFont val="Noto Sans CJK SC"/>
        <family val="2"/>
        <charset val="1"/>
      </rPr>
      <t xml:space="preserve">P6 </t>
    </r>
    <r>
      <rPr>
        <sz val="10"/>
        <rFont val="WenQuanYi Zen Hei"/>
        <family val="2"/>
      </rPr>
      <t xml:space="preserve">表（</t>
    </r>
    <r>
      <rPr>
        <sz val="10"/>
        <rFont val="Noto Sans CJK SC"/>
        <family val="2"/>
        <charset val="1"/>
      </rPr>
      <t xml:space="preserve">2</t>
    </r>
    <r>
      <rPr>
        <sz val="10"/>
        <rFont val="WenQuanYi Zen Hei"/>
        <family val="2"/>
      </rPr>
      <t xml:space="preserve">段見出しの結合セル）</t>
    </r>
  </si>
  <si>
    <r>
      <rPr>
        <sz val="11"/>
        <color theme="1"/>
        <rFont val="WenQuanYi Zen Hei"/>
        <family val="2"/>
      </rPr>
      <t xml:space="preserve">中央駅前の初期投資の合計は </t>
    </r>
    <r>
      <rPr>
        <sz val="11"/>
        <color theme="1"/>
        <rFont val="Calibri"/>
        <family val="2"/>
        <charset val="1"/>
      </rPr>
      <t xml:space="preserve">**60</t>
    </r>
    <r>
      <rPr>
        <sz val="11"/>
        <color theme="1"/>
        <rFont val="WenQuanYi Zen Hei"/>
        <family val="2"/>
      </rPr>
      <t xml:space="preserve">百万円（</t>
    </r>
    <r>
      <rPr>
        <sz val="11"/>
        <color theme="1"/>
        <rFont val="Calibri"/>
        <family val="2"/>
        <charset val="1"/>
      </rPr>
      <t xml:space="preserve">6,000</t>
    </r>
    <r>
      <rPr>
        <sz val="11"/>
        <color theme="1"/>
        <rFont val="WenQuanYi Zen Hei"/>
        <family val="2"/>
      </rPr>
      <t xml:space="preserve">万円）</t>
    </r>
    <r>
      <rPr>
        <sz val="11"/>
        <color theme="1"/>
        <rFont val="Calibri"/>
        <family val="2"/>
        <charset val="1"/>
      </rPr>
      <t xml:space="preserve">** </t>
    </r>
    <r>
      <rPr>
        <sz val="11"/>
        <color theme="1"/>
        <rFont val="WenQuanYi Zen Hei"/>
        <family val="2"/>
      </rPr>
      <t xml:space="preserve">です。内訳は内装</t>
    </r>
    <r>
      <rPr>
        <sz val="11"/>
        <color theme="1"/>
        <rFont val="Calibri"/>
        <family val="2"/>
        <charset val="1"/>
      </rPr>
      <t xml:space="preserve">42</t>
    </r>
    <r>
      <rPr>
        <sz val="11"/>
        <color theme="1"/>
        <rFont val="WenQuanYi Zen Hei"/>
        <family val="2"/>
      </rPr>
      <t xml:space="preserve">百万円、設備</t>
    </r>
    <r>
      <rPr>
        <sz val="11"/>
        <color theme="1"/>
        <rFont val="Calibri"/>
        <family val="2"/>
        <charset val="1"/>
      </rPr>
      <t xml:space="preserve">18</t>
    </r>
    <r>
      <rPr>
        <sz val="11"/>
        <color theme="1"/>
        <rFont val="WenQuanYi Zen Hei"/>
        <family val="2"/>
      </rPr>
      <t xml:space="preserve">百万円です（スライド</t>
    </r>
    <r>
      <rPr>
        <sz val="11"/>
        <color theme="1"/>
        <rFont val="Calibri"/>
        <family val="2"/>
        <charset val="1"/>
      </rPr>
      <t xml:space="preserve">6</t>
    </r>
    <r>
      <rPr>
        <sz val="11"/>
        <color theme="1"/>
        <rFont val="WenQuanYi Zen Hei"/>
        <family val="2"/>
      </rPr>
      <t xml:space="preserve">「収支シミュレーション」、スライド</t>
    </r>
    <r>
      <rPr>
        <sz val="11"/>
        <color theme="1"/>
        <rFont val="Calibri"/>
        <family val="2"/>
        <charset val="1"/>
      </rPr>
      <t xml:space="preserve">10</t>
    </r>
    <r>
      <rPr>
        <sz val="11"/>
        <color theme="1"/>
        <rFont val="WenQuanYi Zen Hei"/>
        <family val="2"/>
      </rPr>
      <t xml:space="preserve">「決裁依頼」）。</t>
    </r>
  </si>
  <si>
    <t xml:space="preserve">06-11</t>
  </si>
  <si>
    <t xml:space="preserve">投資回収年数が最も短い候補地と、その年数を答えてください。</t>
  </si>
  <si>
    <r>
      <rPr>
        <sz val="10"/>
        <rFont val="WenQuanYi Zen Hei"/>
        <family val="2"/>
      </rPr>
      <t xml:space="preserve">湾岸タワー、</t>
    </r>
    <r>
      <rPr>
        <sz val="10"/>
        <rFont val="Noto Sans CJK SC"/>
        <family val="2"/>
        <charset val="1"/>
      </rPr>
      <t xml:space="preserve">3.8</t>
    </r>
    <r>
      <rPr>
        <sz val="10"/>
        <rFont val="WenQuanYi Zen Hei"/>
        <family val="2"/>
      </rPr>
      <t xml:space="preserve">年</t>
    </r>
  </si>
  <si>
    <r>
      <rPr>
        <sz val="10"/>
        <rFont val="WenQuanYi Zen Hei"/>
        <family val="2"/>
      </rPr>
      <t xml:space="preserve">【表】</t>
    </r>
    <r>
      <rPr>
        <sz val="10"/>
        <rFont val="Noto Sans CJK SC"/>
        <family val="2"/>
        <charset val="1"/>
      </rPr>
      <t xml:space="preserve">P6 </t>
    </r>
    <r>
      <rPr>
        <sz val="10"/>
        <rFont val="WenQuanYi Zen Hei"/>
        <family val="2"/>
      </rPr>
      <t xml:space="preserve">表</t>
    </r>
  </si>
  <si>
    <r>
      <rPr>
        <sz val="10"/>
        <rFont val="WenQuanYi Zen Hei"/>
        <family val="2"/>
      </rPr>
      <t xml:space="preserve">湾岸タワー、</t>
    </r>
    <r>
      <rPr>
        <sz val="10"/>
        <rFont val="Meiryo UI"/>
        <family val="0"/>
        <charset val="1"/>
      </rPr>
      <t xml:space="preserve">3.8</t>
    </r>
    <r>
      <rPr>
        <sz val="10"/>
        <rFont val="WenQuanYi Zen Hei"/>
        <family val="2"/>
      </rPr>
      <t xml:space="preserve">年</t>
    </r>
  </si>
  <si>
    <r>
      <rPr>
        <sz val="11"/>
        <color theme="1"/>
        <rFont val="WenQuanYi Zen Hei"/>
        <family val="2"/>
      </rPr>
      <t xml:space="preserve">投資回収年数が最も短い候補地は</t>
    </r>
    <r>
      <rPr>
        <sz val="11"/>
        <color theme="1"/>
        <rFont val="Calibri"/>
        <family val="2"/>
        <charset val="1"/>
      </rPr>
      <t xml:space="preserve">**</t>
    </r>
    <r>
      <rPr>
        <sz val="11"/>
        <color theme="1"/>
        <rFont val="WenQuanYi Zen Hei"/>
        <family val="2"/>
      </rPr>
      <t xml:space="preserve">湾岸タワー</t>
    </r>
    <r>
      <rPr>
        <sz val="11"/>
        <color theme="1"/>
        <rFont val="Calibri"/>
        <family val="2"/>
        <charset val="1"/>
      </rPr>
      <t xml:space="preserve">**</t>
    </r>
    <r>
      <rPr>
        <sz val="11"/>
        <color theme="1"/>
        <rFont val="WenQuanYi Zen Hei"/>
        <family val="2"/>
      </rPr>
      <t xml:space="preserve">で、その年数は</t>
    </r>
    <r>
      <rPr>
        <sz val="11"/>
        <color theme="1"/>
        <rFont val="Calibri"/>
        <family val="2"/>
        <charset val="1"/>
      </rPr>
      <t xml:space="preserve">**3.8</t>
    </r>
    <r>
      <rPr>
        <sz val="11"/>
        <color theme="1"/>
        <rFont val="WenQuanYi Zen Hei"/>
        <family val="2"/>
      </rPr>
      <t xml:space="preserve">年</t>
    </r>
    <r>
      <rPr>
        <sz val="11"/>
        <color theme="1"/>
        <rFont val="Calibri"/>
        <family val="2"/>
        <charset val="1"/>
      </rPr>
      <t xml:space="preserve">**</t>
    </r>
    <r>
      <rPr>
        <sz val="11"/>
        <color theme="1"/>
        <rFont val="WenQuanYi Zen Hei"/>
        <family val="2"/>
      </rPr>
      <t xml:space="preserve">です。
（スライド</t>
    </r>
    <r>
      <rPr>
        <sz val="11"/>
        <color theme="1"/>
        <rFont val="Calibri"/>
        <family val="2"/>
        <charset val="1"/>
      </rPr>
      <t xml:space="preserve">6</t>
    </r>
    <r>
      <rPr>
        <sz val="11"/>
        <color theme="1"/>
        <rFont val="WenQuanYi Zen Hei"/>
        <family val="2"/>
      </rPr>
      <t xml:space="preserve">「収支シミュレーション」より。初期投資合計</t>
    </r>
    <r>
      <rPr>
        <sz val="11"/>
        <color theme="1"/>
        <rFont val="Calibri"/>
        <family val="2"/>
        <charset val="1"/>
      </rPr>
      <t xml:space="preserve">54</t>
    </r>
    <r>
      <rPr>
        <sz val="11"/>
        <color theme="1"/>
        <rFont val="WenQuanYi Zen Hei"/>
        <family val="2"/>
      </rPr>
      <t xml:space="preserve">百万円</t>
    </r>
    <r>
      <rPr>
        <sz val="11"/>
        <color theme="1"/>
        <rFont val="Calibri"/>
        <family val="2"/>
        <charset val="1"/>
      </rPr>
      <t xml:space="preserve">÷</t>
    </r>
    <r>
      <rPr>
        <sz val="11"/>
        <color theme="1"/>
        <rFont val="WenQuanYi Zen Hei"/>
        <family val="2"/>
      </rPr>
      <t xml:space="preserve">年間営業利益</t>
    </r>
    <r>
      <rPr>
        <sz val="11"/>
        <color theme="1"/>
        <rFont val="Calibri"/>
        <family val="2"/>
        <charset val="1"/>
      </rPr>
      <t xml:space="preserve">14.2</t>
    </r>
    <r>
      <rPr>
        <sz val="11"/>
        <color theme="1"/>
        <rFont val="WenQuanYi Zen Hei"/>
        <family val="2"/>
      </rPr>
      <t xml:space="preserve">百万円で算出。次に短いのは中央駅前の</t>
    </r>
    <r>
      <rPr>
        <sz val="11"/>
        <color theme="1"/>
        <rFont val="Calibri"/>
        <family val="2"/>
        <charset val="1"/>
      </rPr>
      <t xml:space="preserve">4.5</t>
    </r>
    <r>
      <rPr>
        <sz val="11"/>
        <color theme="1"/>
        <rFont val="WenQuanYi Zen Hei"/>
        <family val="2"/>
      </rPr>
      <t xml:space="preserve">年です。）</t>
    </r>
  </si>
  <si>
    <t xml:space="preserve">06-12</t>
  </si>
  <si>
    <t xml:space="preserve">P7</t>
  </si>
  <si>
    <t xml:space="preserve">図解・位置関係</t>
  </si>
  <si>
    <t xml:space="preserve">湾岸タワー店のスケジュールで、『内装工事』を始める前に完了している必要がある作業は何ですか？</t>
  </si>
  <si>
    <t xml:space="preserve">店舗設計</t>
  </si>
  <si>
    <r>
      <rPr>
        <sz val="10"/>
        <rFont val="WenQuanYi Zen Hei"/>
        <family val="2"/>
      </rPr>
      <t xml:space="preserve">【図解（依存関係）】</t>
    </r>
    <r>
      <rPr>
        <sz val="10"/>
        <rFont val="Noto Sans CJK SC"/>
        <family val="2"/>
        <charset val="1"/>
      </rPr>
      <t xml:space="preserve">P7 </t>
    </r>
    <r>
      <rPr>
        <sz val="10"/>
        <rFont val="WenQuanYi Zen Hei"/>
        <family val="2"/>
      </rPr>
      <t xml:space="preserve">依存関係の矢印（コネクタ）</t>
    </r>
  </si>
  <si>
    <t xml:space="preserve">物件契約も間接的に完了済みと補足（誤りではない）</t>
  </si>
  <si>
    <r>
      <rPr>
        <sz val="11"/>
        <color theme="1"/>
        <rFont val="WenQuanYi Zen Hei"/>
        <family val="2"/>
      </rPr>
      <t xml:space="preserve">『内装工事』を始める前に完了している必要があるのは「店舗設計」（</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2</t>
    </r>
    <r>
      <rPr>
        <sz val="11"/>
        <color theme="1"/>
        <rFont val="WenQuanYi Zen Hei"/>
        <family val="2"/>
      </rPr>
      <t xml:space="preserve">月〜</t>
    </r>
    <r>
      <rPr>
        <sz val="11"/>
        <color theme="1"/>
        <rFont val="Calibri"/>
        <family val="2"/>
        <charset val="1"/>
      </rPr>
      <t xml:space="preserve">3</t>
    </r>
    <r>
      <rPr>
        <sz val="11"/>
        <color theme="1"/>
        <rFont val="WenQuanYi Zen Hei"/>
        <family val="2"/>
      </rPr>
      <t xml:space="preserve">月）です。
スライド</t>
    </r>
    <r>
      <rPr>
        <sz val="11"/>
        <color theme="1"/>
        <rFont val="Calibri"/>
        <family val="2"/>
        <charset val="1"/>
      </rPr>
      <t xml:space="preserve">7</t>
    </r>
    <r>
      <rPr>
        <sz val="11"/>
        <color theme="1"/>
        <rFont val="WenQuanYi Zen Hei"/>
        <family val="2"/>
      </rPr>
      <t xml:space="preserve">のスケジュールでは、矢印「店舗設計 → 内装工事」で示されるとおり、内装工事は店舗設計が終わってから開始します。なお、店舗設計はその前の「物件契約」（</t>
    </r>
    <r>
      <rPr>
        <sz val="11"/>
        <color theme="1"/>
        <rFont val="Calibri"/>
        <family val="2"/>
        <charset val="1"/>
      </rPr>
      <t xml:space="preserve">1</t>
    </r>
    <r>
      <rPr>
        <sz val="11"/>
        <color theme="1"/>
        <rFont val="WenQuanYi Zen Hei"/>
        <family val="2"/>
      </rPr>
      <t xml:space="preserve">月）が終わってから始まるため、結果として物件契約も内装工事の開始前に完了していることになります。</t>
    </r>
  </si>
  <si>
    <t xml:space="preserve">06-13</t>
  </si>
  <si>
    <t xml:space="preserve">クリティカルパス上にあるタスクをすべて答えてください。</t>
  </si>
  <si>
    <t xml:space="preserve">物件契約、店舗設計、内装工事、開店準備（採用・研修は含まない）</t>
  </si>
  <si>
    <r>
      <rPr>
        <sz val="10"/>
        <rFont val="WenQuanYi Zen Hei"/>
        <family val="2"/>
      </rPr>
      <t xml:space="preserve">【書式・色】</t>
    </r>
    <r>
      <rPr>
        <sz val="10"/>
        <rFont val="Noto Sans CJK SC"/>
        <family val="2"/>
        <charset val="1"/>
      </rPr>
      <t xml:space="preserve">P7 </t>
    </r>
    <r>
      <rPr>
        <sz val="10"/>
        <rFont val="WenQuanYi Zen Hei"/>
        <family val="2"/>
      </rPr>
      <t xml:space="preserve">バーの色＋凡例</t>
    </r>
  </si>
  <si>
    <r>
      <rPr>
        <sz val="11"/>
        <color theme="1"/>
        <rFont val="WenQuanYi Zen Hei"/>
        <family val="2"/>
      </rPr>
      <t xml:space="preserve">湾岸タワー店の出店スケジュール（スライド</t>
    </r>
    <r>
      <rPr>
        <sz val="11"/>
        <color theme="1"/>
        <rFont val="Calibri"/>
        <family val="2"/>
        <charset val="1"/>
      </rPr>
      <t xml:space="preserve">7</t>
    </r>
    <r>
      <rPr>
        <sz val="11"/>
        <color theme="1"/>
        <rFont val="WenQuanYi Zen Hei"/>
        <family val="2"/>
      </rPr>
      <t xml:space="preserve">）で、クリティカルパス（赤）上にあるタスクは次の</t>
    </r>
    <r>
      <rPr>
        <sz val="11"/>
        <color theme="1"/>
        <rFont val="Calibri"/>
        <family val="2"/>
        <charset val="1"/>
      </rPr>
      <t xml:space="preserve">4</t>
    </r>
    <r>
      <rPr>
        <sz val="11"/>
        <color theme="1"/>
        <rFont val="WenQuanYi Zen Hei"/>
        <family val="2"/>
      </rPr>
      <t xml:space="preserve">つです。
</t>
    </r>
    <r>
      <rPr>
        <sz val="11"/>
        <color theme="1"/>
        <rFont val="Calibri"/>
        <family val="2"/>
        <charset val="1"/>
      </rPr>
      <t xml:space="preserve">1. </t>
    </r>
    <r>
      <rPr>
        <sz val="11"/>
        <color theme="1"/>
        <rFont val="WenQuanYi Zen Hei"/>
        <family val="2"/>
      </rPr>
      <t xml:space="preserve">物件契約（</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1</t>
    </r>
    <r>
      <rPr>
        <sz val="11"/>
        <color theme="1"/>
        <rFont val="WenQuanYi Zen Hei"/>
        <family val="2"/>
      </rPr>
      <t xml:space="preserve">月）
</t>
    </r>
    <r>
      <rPr>
        <sz val="11"/>
        <color theme="1"/>
        <rFont val="Calibri"/>
        <family val="2"/>
        <charset val="1"/>
      </rPr>
      <t xml:space="preserve">2. </t>
    </r>
    <r>
      <rPr>
        <sz val="11"/>
        <color theme="1"/>
        <rFont val="WenQuanYi Zen Hei"/>
        <family val="2"/>
      </rPr>
      <t xml:space="preserve">店舗設計（</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2</t>
    </r>
    <r>
      <rPr>
        <sz val="11"/>
        <color theme="1"/>
        <rFont val="WenQuanYi Zen Hei"/>
        <family val="2"/>
      </rPr>
      <t xml:space="preserve">月〜</t>
    </r>
    <r>
      <rPr>
        <sz val="11"/>
        <color theme="1"/>
        <rFont val="Calibri"/>
        <family val="2"/>
        <charset val="1"/>
      </rPr>
      <t xml:space="preserve">3</t>
    </r>
    <r>
      <rPr>
        <sz val="11"/>
        <color theme="1"/>
        <rFont val="WenQuanYi Zen Hei"/>
        <family val="2"/>
      </rPr>
      <t xml:space="preserve">月）
</t>
    </r>
    <r>
      <rPr>
        <sz val="11"/>
        <color theme="1"/>
        <rFont val="Calibri"/>
        <family val="2"/>
        <charset val="1"/>
      </rPr>
      <t xml:space="preserve">3. </t>
    </r>
    <r>
      <rPr>
        <sz val="11"/>
        <color theme="1"/>
        <rFont val="WenQuanYi Zen Hei"/>
        <family val="2"/>
      </rPr>
      <t xml:space="preserve">内装工事（</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4</t>
    </r>
    <r>
      <rPr>
        <sz val="11"/>
        <color theme="1"/>
        <rFont val="WenQuanYi Zen Hei"/>
        <family val="2"/>
      </rPr>
      <t xml:space="preserve">月〜</t>
    </r>
    <r>
      <rPr>
        <sz val="11"/>
        <color theme="1"/>
        <rFont val="Calibri"/>
        <family val="2"/>
        <charset val="1"/>
      </rPr>
      <t xml:space="preserve">5</t>
    </r>
    <r>
      <rPr>
        <sz val="11"/>
        <color theme="1"/>
        <rFont val="WenQuanYi Zen Hei"/>
        <family val="2"/>
      </rPr>
      <t xml:space="preserve">月）
</t>
    </r>
    <r>
      <rPr>
        <sz val="11"/>
        <color theme="1"/>
        <rFont val="Calibri"/>
        <family val="2"/>
        <charset val="1"/>
      </rPr>
      <t xml:space="preserve">4. </t>
    </r>
    <r>
      <rPr>
        <sz val="11"/>
        <color theme="1"/>
        <rFont val="WenQuanYi Zen Hei"/>
        <family val="2"/>
      </rPr>
      <t xml:space="preserve">開店準備（</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6</t>
    </r>
    <r>
      <rPr>
        <sz val="11"/>
        <color theme="1"/>
        <rFont val="WenQuanYi Zen Hei"/>
        <family val="2"/>
      </rPr>
      <t xml:space="preserve">月）
この順に進んで、</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7</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日の開店（マイルストーン）につながります。採用・研修（</t>
    </r>
    <r>
      <rPr>
        <sz val="11"/>
        <color theme="1"/>
        <rFont val="Calibri"/>
        <family val="2"/>
        <charset val="1"/>
      </rPr>
      <t xml:space="preserve">4</t>
    </r>
    <r>
      <rPr>
        <sz val="11"/>
        <color theme="1"/>
        <rFont val="WenQuanYi Zen Hei"/>
        <family val="2"/>
      </rPr>
      <t xml:space="preserve">月〜</t>
    </r>
    <r>
      <rPr>
        <sz val="11"/>
        <color theme="1"/>
        <rFont val="Calibri"/>
        <family val="2"/>
        <charset val="1"/>
      </rPr>
      <t xml:space="preserve">6</t>
    </r>
    <r>
      <rPr>
        <sz val="11"/>
        <color theme="1"/>
        <rFont val="WenQuanYi Zen Hei"/>
        <family val="2"/>
      </rPr>
      <t xml:space="preserve">月）は余裕のあるタスク（青）なので、クリティカルパスには含まれません。</t>
    </r>
  </si>
  <si>
    <t xml:space="preserve">06-14</t>
  </si>
  <si>
    <t xml:space="preserve">P8</t>
  </si>
  <si>
    <t xml:space="preserve">湾岸タワー店の店舗面積と客席数を答えてください。</t>
  </si>
  <si>
    <r>
      <rPr>
        <sz val="10"/>
        <rFont val="Meiryo UI"/>
        <family val="0"/>
        <charset val="1"/>
      </rPr>
      <t xml:space="preserve">82m²</t>
    </r>
    <r>
      <rPr>
        <sz val="10"/>
        <rFont val="WenQuanYi Zen Hei"/>
        <family val="2"/>
      </rPr>
      <t xml:space="preserve">（約</t>
    </r>
    <r>
      <rPr>
        <sz val="10"/>
        <rFont val="Meiryo UI"/>
        <family val="0"/>
        <charset val="1"/>
      </rPr>
      <t xml:space="preserve">25</t>
    </r>
    <r>
      <rPr>
        <sz val="10"/>
        <rFont val="WenQuanYi Zen Hei"/>
        <family val="2"/>
      </rPr>
      <t xml:space="preserve">坪）、</t>
    </r>
    <r>
      <rPr>
        <sz val="10"/>
        <rFont val="Meiryo UI"/>
        <family val="0"/>
        <charset val="1"/>
      </rPr>
      <t xml:space="preserve">48</t>
    </r>
    <r>
      <rPr>
        <sz val="10"/>
        <rFont val="WenQuanYi Zen Hei"/>
        <family val="2"/>
      </rPr>
      <t xml:space="preserve">席（うちテラス</t>
    </r>
    <r>
      <rPr>
        <sz val="10"/>
        <rFont val="Meiryo UI"/>
        <family val="0"/>
        <charset val="1"/>
      </rPr>
      <t xml:space="preserve">8</t>
    </r>
    <r>
      <rPr>
        <sz val="10"/>
        <rFont val="WenQuanYi Zen Hei"/>
        <family val="2"/>
      </rPr>
      <t xml:space="preserve">席）</t>
    </r>
  </si>
  <si>
    <r>
      <rPr>
        <sz val="10"/>
        <rFont val="WenQuanYi Zen Hei"/>
        <family val="2"/>
      </rPr>
      <t xml:space="preserve">【上付き文字・</t>
    </r>
    <r>
      <rPr>
        <sz val="10"/>
        <rFont val="Noto Sans CJK SC"/>
        <family val="2"/>
        <charset val="1"/>
      </rPr>
      <t xml:space="preserve">2</t>
    </r>
    <r>
      <rPr>
        <sz val="10"/>
        <rFont val="WenQuanYi Zen Hei"/>
        <family val="2"/>
      </rPr>
      <t xml:space="preserve">段組】</t>
    </r>
    <r>
      <rPr>
        <sz val="10"/>
        <rFont val="Noto Sans CJK SC"/>
        <family val="2"/>
        <charset val="1"/>
      </rPr>
      <t xml:space="preserve">P8 </t>
    </r>
    <r>
      <rPr>
        <sz val="10"/>
        <rFont val="WenQuanYi Zen Hei"/>
        <family val="2"/>
      </rPr>
      <t xml:space="preserve">上付き文字（</t>
    </r>
    <r>
      <rPr>
        <sz val="10"/>
        <rFont val="Noto Sans CJK SC"/>
        <family val="2"/>
        <charset val="1"/>
      </rPr>
      <t xml:space="preserve">m²</t>
    </r>
    <r>
      <rPr>
        <sz val="10"/>
        <rFont val="WenQuanYi Zen Hei"/>
        <family val="2"/>
      </rPr>
      <t xml:space="preserve">）、</t>
    </r>
    <r>
      <rPr>
        <sz val="10"/>
        <rFont val="Noto Sans CJK SC"/>
        <family val="2"/>
        <charset val="1"/>
      </rPr>
      <t xml:space="preserve">2</t>
    </r>
    <r>
      <rPr>
        <sz val="10"/>
        <rFont val="WenQuanYi Zen Hei"/>
        <family val="2"/>
      </rPr>
      <t xml:space="preserve">段組テキスト</t>
    </r>
  </si>
  <si>
    <r>
      <rPr>
        <sz val="11"/>
        <color theme="1"/>
        <rFont val="WenQuanYi Zen Hei"/>
        <family val="2"/>
      </rPr>
      <t xml:space="preserve">湾岸タワー店の店舗面積は</t>
    </r>
    <r>
      <rPr>
        <sz val="11"/>
        <color theme="1"/>
        <rFont val="Calibri"/>
        <family val="2"/>
        <charset val="1"/>
      </rPr>
      <t xml:space="preserve">82m²</t>
    </r>
    <r>
      <rPr>
        <sz val="11"/>
        <color theme="1"/>
        <rFont val="WenQuanYi Zen Hei"/>
        <family val="2"/>
      </rPr>
      <t xml:space="preserve">（約</t>
    </r>
    <r>
      <rPr>
        <sz val="11"/>
        <color theme="1"/>
        <rFont val="Calibri"/>
        <family val="2"/>
        <charset val="1"/>
      </rPr>
      <t xml:space="preserve">25</t>
    </r>
    <r>
      <rPr>
        <sz val="11"/>
        <color theme="1"/>
        <rFont val="WenQuanYi Zen Hei"/>
        <family val="2"/>
      </rPr>
      <t xml:space="preserve">坪）、客席数は</t>
    </r>
    <r>
      <rPr>
        <sz val="11"/>
        <color theme="1"/>
        <rFont val="Calibri"/>
        <family val="2"/>
        <charset val="1"/>
      </rPr>
      <t xml:space="preserve">48</t>
    </r>
    <r>
      <rPr>
        <sz val="11"/>
        <color theme="1"/>
        <rFont val="WenQuanYi Zen Hei"/>
        <family val="2"/>
      </rPr>
      <t xml:space="preserve">席（うちテラス</t>
    </r>
    <r>
      <rPr>
        <sz val="11"/>
        <color theme="1"/>
        <rFont val="Calibri"/>
        <family val="2"/>
        <charset val="1"/>
      </rPr>
      <t xml:space="preserve">8</t>
    </r>
    <r>
      <rPr>
        <sz val="11"/>
        <color theme="1"/>
        <rFont val="WenQuanYi Zen Hei"/>
        <family val="2"/>
      </rPr>
      <t xml:space="preserve">席）です。（スライド</t>
    </r>
    <r>
      <rPr>
        <sz val="11"/>
        <color theme="1"/>
        <rFont val="Calibri"/>
        <family val="2"/>
        <charset val="1"/>
      </rPr>
      <t xml:space="preserve">8</t>
    </r>
    <r>
      <rPr>
        <sz val="11"/>
        <color theme="1"/>
        <rFont val="WenQuanYi Zen Hei"/>
        <family val="2"/>
      </rPr>
      <t xml:space="preserve">「湾岸タワー店の店舗計画」より。スライド</t>
    </r>
    <r>
      <rPr>
        <sz val="11"/>
        <color theme="1"/>
        <rFont val="Calibri"/>
        <family val="2"/>
        <charset val="1"/>
      </rPr>
      <t xml:space="preserve">4</t>
    </r>
    <r>
      <rPr>
        <sz val="11"/>
        <color theme="1"/>
        <rFont val="WenQuanYi Zen Hei"/>
        <family val="2"/>
      </rPr>
      <t xml:space="preserve">の現地写真の看板「テナント募集　</t>
    </r>
    <r>
      <rPr>
        <sz val="11"/>
        <color theme="1"/>
        <rFont val="Calibri"/>
        <family val="2"/>
        <charset val="1"/>
      </rPr>
      <t xml:space="preserve">1F 82</t>
    </r>
    <r>
      <rPr>
        <sz val="11"/>
        <color theme="1"/>
        <rFont val="WenQuanYi Zen Hei"/>
        <family val="2"/>
      </rPr>
      <t xml:space="preserve">㎡」とも一致します。）</t>
    </r>
  </si>
  <si>
    <t xml:space="preserve">06-15</t>
  </si>
  <si>
    <t xml:space="preserve">店舗計画のうち、蛍光マーカーで強調されている条件は何ですか？</t>
  </si>
  <si>
    <r>
      <rPr>
        <sz val="10"/>
        <rFont val="WenQuanYi Zen Hei"/>
        <family val="2"/>
      </rPr>
      <t xml:space="preserve">家賃は売上の</t>
    </r>
    <r>
      <rPr>
        <sz val="10"/>
        <rFont val="Noto Sans CJK SC"/>
        <family val="2"/>
        <charset val="1"/>
      </rPr>
      <t xml:space="preserve">10%</t>
    </r>
    <r>
      <rPr>
        <sz val="10"/>
        <rFont val="WenQuanYi Zen Hei"/>
        <family val="2"/>
      </rPr>
      <t xml:space="preserve">以内</t>
    </r>
  </si>
  <si>
    <r>
      <rPr>
        <sz val="10"/>
        <rFont val="WenQuanYi Zen Hei"/>
        <family val="2"/>
      </rPr>
      <t xml:space="preserve">【蛍光マーカー】</t>
    </r>
    <r>
      <rPr>
        <sz val="10"/>
        <rFont val="Noto Sans CJK SC"/>
        <family val="2"/>
        <charset val="1"/>
      </rPr>
      <t xml:space="preserve">P8 </t>
    </r>
    <r>
      <rPr>
        <sz val="10"/>
        <rFont val="WenQuanYi Zen Hei"/>
        <family val="2"/>
      </rPr>
      <t xml:space="preserve">ハイライト（蛍光ペン）書式</t>
    </r>
  </si>
  <si>
    <r>
      <rPr>
        <sz val="10"/>
        <rFont val="WenQuanYi Zen Hei"/>
        <family val="2"/>
      </rPr>
      <t xml:space="preserve">家賃は売上の</t>
    </r>
    <r>
      <rPr>
        <sz val="10"/>
        <rFont val="Meiryo UI"/>
        <family val="0"/>
        <charset val="1"/>
      </rPr>
      <t xml:space="preserve">10%</t>
    </r>
    <r>
      <rPr>
        <sz val="10"/>
        <rFont val="WenQuanYi Zen Hei"/>
        <family val="2"/>
      </rPr>
      <t xml:space="preserve">以内</t>
    </r>
  </si>
  <si>
    <r>
      <rPr>
        <sz val="11"/>
        <color theme="1"/>
        <rFont val="WenQuanYi Zen Hei"/>
        <family val="2"/>
      </rPr>
      <t xml:space="preserve">蛍光マーカー（黄色の蛍光ペン）で強調されている条件は、湾岸タワー店の店舗計画（スライド</t>
    </r>
    <r>
      <rPr>
        <sz val="11"/>
        <color theme="1"/>
        <rFont val="Calibri"/>
        <family val="2"/>
        <charset val="1"/>
      </rPr>
      <t xml:space="preserve">8</t>
    </r>
    <r>
      <rPr>
        <sz val="11"/>
        <color theme="1"/>
        <rFont val="WenQuanYi Zen Hei"/>
        <family val="2"/>
      </rPr>
      <t xml:space="preserve">）の出店条件「家賃は売上の</t>
    </r>
    <r>
      <rPr>
        <sz val="11"/>
        <color theme="1"/>
        <rFont val="Calibri"/>
        <family val="2"/>
        <charset val="1"/>
      </rPr>
      <t xml:space="preserve">10%</t>
    </r>
    <r>
      <rPr>
        <sz val="11"/>
        <color theme="1"/>
        <rFont val="WenQuanYi Zen Hei"/>
        <family val="2"/>
      </rPr>
      <t xml:space="preserve">以内」です（太字でも強調されています）。</t>
    </r>
  </si>
  <si>
    <t xml:space="preserve">06-16</t>
  </si>
  <si>
    <t xml:space="preserve">P9</t>
  </si>
  <si>
    <r>
      <rPr>
        <sz val="10"/>
        <rFont val="WenQuanYi Zen Hei"/>
        <family val="2"/>
      </rPr>
      <t xml:space="preserve">『商圏データの詳細』のリンク先</t>
    </r>
    <r>
      <rPr>
        <sz val="10"/>
        <rFont val="Noto Sans CJK SC"/>
        <family val="2"/>
        <charset val="1"/>
      </rPr>
      <t xml:space="preserve">URL</t>
    </r>
    <r>
      <rPr>
        <sz val="10"/>
        <rFont val="WenQuanYi Zen Hei"/>
        <family val="2"/>
      </rPr>
      <t xml:space="preserve">を答えてください。</t>
    </r>
  </si>
  <si>
    <t xml:space="preserve">https://data.morino-cafe.example/area2027</t>
  </si>
  <si>
    <r>
      <rPr>
        <sz val="10"/>
        <rFont val="WenQuanYi Zen Hei"/>
        <family val="2"/>
      </rPr>
      <t xml:space="preserve">【ハイパーリンク】</t>
    </r>
    <r>
      <rPr>
        <sz val="10"/>
        <rFont val="Noto Sans CJK SC"/>
        <family val="2"/>
        <charset val="1"/>
      </rPr>
      <t xml:space="preserve">P9 </t>
    </r>
    <r>
      <rPr>
        <sz val="10"/>
        <rFont val="WenQuanYi Zen Hei"/>
        <family val="2"/>
      </rPr>
      <t xml:space="preserve">テキストのハイパーリンク（</t>
    </r>
    <r>
      <rPr>
        <sz val="10"/>
        <rFont val="Noto Sans CJK SC"/>
        <family val="2"/>
        <charset val="1"/>
      </rPr>
      <t xml:space="preserve">URL</t>
    </r>
    <r>
      <rPr>
        <sz val="10"/>
        <rFont val="WenQuanYi Zen Hei"/>
        <family val="2"/>
      </rPr>
      <t xml:space="preserve">は本文に表示されない）</t>
    </r>
  </si>
  <si>
    <r>
      <rPr>
        <sz val="11"/>
        <color theme="1"/>
        <rFont val="WenQuanYi Zen Hei"/>
        <family val="2"/>
      </rPr>
      <t xml:space="preserve">『商圏データの詳細』のリンク先</t>
    </r>
    <r>
      <rPr>
        <sz val="11"/>
        <color theme="1"/>
        <rFont val="Calibri"/>
        <family val="2"/>
        <charset val="1"/>
      </rPr>
      <t xml:space="preserve">URL</t>
    </r>
    <r>
      <rPr>
        <sz val="11"/>
        <color theme="1"/>
        <rFont val="WenQuanYi Zen Hei"/>
        <family val="2"/>
      </rPr>
      <t xml:space="preserve">は </t>
    </r>
    <r>
      <rPr>
        <sz val="11"/>
        <color theme="1"/>
        <rFont val="Calibri"/>
        <family val="2"/>
        <charset val="1"/>
      </rPr>
      <t xml:space="preserve">https://data.morino-cafe.example/area2027 </t>
    </r>
    <r>
      <rPr>
        <sz val="11"/>
        <color theme="1"/>
        <rFont val="WenQuanYi Zen Hei"/>
        <family val="2"/>
      </rPr>
      <t xml:space="preserve">です（スライド</t>
    </r>
    <r>
      <rPr>
        <sz val="11"/>
        <color theme="1"/>
        <rFont val="Calibri"/>
        <family val="2"/>
        <charset val="1"/>
      </rPr>
      <t xml:space="preserve">9</t>
    </r>
    <r>
      <rPr>
        <sz val="11"/>
        <color theme="1"/>
        <rFont val="WenQuanYi Zen Hei"/>
        <family val="2"/>
      </rPr>
      <t xml:space="preserve">「参考資料」の外部資料リンク）。</t>
    </r>
  </si>
  <si>
    <t xml:space="preserve">06-17</t>
  </si>
  <si>
    <t xml:space="preserve">『収支の詳細はこちら』ボタンをクリックすると、どのスライドへ移動しますか？</t>
  </si>
  <si>
    <r>
      <rPr>
        <sz val="10"/>
        <rFont val="Meiryo UI"/>
        <family val="0"/>
        <charset val="1"/>
      </rPr>
      <t xml:space="preserve">6</t>
    </r>
    <r>
      <rPr>
        <sz val="10"/>
        <rFont val="WenQuanYi Zen Hei"/>
        <family val="2"/>
      </rPr>
      <t xml:space="preserve">枚目（収支シミュレーション）</t>
    </r>
  </si>
  <si>
    <r>
      <rPr>
        <sz val="10"/>
        <rFont val="WenQuanYi Zen Hei"/>
        <family val="2"/>
      </rPr>
      <t xml:space="preserve">【スライド内リンク】</t>
    </r>
    <r>
      <rPr>
        <sz val="10"/>
        <rFont val="Noto Sans CJK SC"/>
        <family val="2"/>
        <charset val="1"/>
      </rPr>
      <t xml:space="preserve">P9 </t>
    </r>
    <r>
      <rPr>
        <sz val="10"/>
        <rFont val="WenQuanYi Zen Hei"/>
        <family val="2"/>
      </rPr>
      <t xml:space="preserve">図形のクリック時の動作（スライドへのリンク）</t>
    </r>
  </si>
  <si>
    <r>
      <rPr>
        <sz val="10"/>
        <rFont val="WenQuanYi Zen Hei"/>
        <family val="2"/>
      </rPr>
      <t xml:space="preserve">スライド</t>
    </r>
    <r>
      <rPr>
        <sz val="10"/>
        <rFont val="Meiryo UI"/>
        <family val="0"/>
        <charset val="1"/>
      </rPr>
      <t xml:space="preserve">6</t>
    </r>
    <r>
      <rPr>
        <sz val="10"/>
        <rFont val="WenQuanYi Zen Hei"/>
        <family val="2"/>
      </rPr>
      <t xml:space="preserve">「収支シミュレーション」</t>
    </r>
  </si>
  <si>
    <r>
      <rPr>
        <sz val="11"/>
        <color theme="1"/>
        <rFont val="WenQuanYi Zen Hei"/>
        <family val="2"/>
      </rPr>
      <t xml:space="preserve">スライド</t>
    </r>
    <r>
      <rPr>
        <sz val="11"/>
        <color theme="1"/>
        <rFont val="Calibri"/>
        <family val="2"/>
        <charset val="1"/>
      </rPr>
      <t xml:space="preserve">6</t>
    </r>
    <r>
      <rPr>
        <sz val="11"/>
        <color theme="1"/>
        <rFont val="WenQuanYi Zen Hei"/>
        <family val="2"/>
      </rPr>
      <t xml:space="preserve">「収支シミュレーション」へ移動します（スライド</t>
    </r>
    <r>
      <rPr>
        <sz val="11"/>
        <color theme="1"/>
        <rFont val="Calibri"/>
        <family val="2"/>
        <charset val="1"/>
      </rPr>
      <t xml:space="preserve">9</t>
    </r>
    <r>
      <rPr>
        <sz val="11"/>
        <color theme="1"/>
        <rFont val="WenQuanYi Zen Hei"/>
        <family val="2"/>
      </rPr>
      <t xml:space="preserve">の「収支の詳細はこちら」ボタンはスライド内リンクで、クリックすると該当スライドへ移動します）。</t>
    </r>
  </si>
  <si>
    <t xml:space="preserve">06-18</t>
  </si>
  <si>
    <t xml:space="preserve">P10</t>
  </si>
  <si>
    <t xml:space="preserve">中央駅前への出店を見送るのはどのような場合ですか？</t>
  </si>
  <si>
    <r>
      <rPr>
        <sz val="10"/>
        <rFont val="WenQuanYi Zen Hei"/>
        <family val="2"/>
      </rPr>
      <t xml:space="preserve">月額賃料が</t>
    </r>
    <r>
      <rPr>
        <sz val="10"/>
        <rFont val="Noto Sans CJK SC"/>
        <family val="2"/>
        <charset val="1"/>
      </rPr>
      <t xml:space="preserve">85</t>
    </r>
    <r>
      <rPr>
        <sz val="10"/>
        <rFont val="WenQuanYi Zen Hei"/>
        <family val="2"/>
      </rPr>
      <t xml:space="preserve">万円を超える場合（その場合は北大学前を再検討）</t>
    </r>
  </si>
  <si>
    <r>
      <rPr>
        <sz val="10"/>
        <rFont val="WenQuanYi Zen Hei"/>
        <family val="2"/>
      </rPr>
      <t xml:space="preserve">【ノート】</t>
    </r>
    <r>
      <rPr>
        <sz val="10"/>
        <rFont val="Noto Sans CJK SC"/>
        <family val="2"/>
        <charset val="1"/>
      </rPr>
      <t xml:space="preserve">P10 </t>
    </r>
    <r>
      <rPr>
        <sz val="10"/>
        <rFont val="WenQuanYi Zen Hei"/>
        <family val="2"/>
      </rPr>
      <t xml:space="preserve">ノート</t>
    </r>
  </si>
  <si>
    <r>
      <rPr>
        <sz val="10"/>
        <rFont val="WenQuanYi Zen Hei"/>
        <family val="2"/>
      </rPr>
      <t xml:space="preserve">月額賃料が</t>
    </r>
    <r>
      <rPr>
        <sz val="10"/>
        <rFont val="Meiryo UI"/>
        <family val="0"/>
        <charset val="1"/>
      </rPr>
      <t xml:space="preserve">85</t>
    </r>
    <r>
      <rPr>
        <sz val="10"/>
        <rFont val="WenQuanYi Zen Hei"/>
        <family val="2"/>
      </rPr>
      <t xml:space="preserve">万円超なら見送り、北大学前を再検討</t>
    </r>
  </si>
  <si>
    <r>
      <rPr>
        <sz val="11"/>
        <color theme="1"/>
        <rFont val="WenQuanYi Zen Hei"/>
        <family val="2"/>
      </rPr>
      <t xml:space="preserve">中央駅前は現在賃料交渉中で、月額賃料が</t>
    </r>
    <r>
      <rPr>
        <sz val="11"/>
        <color theme="1"/>
        <rFont val="Calibri"/>
        <family val="2"/>
        <charset val="1"/>
      </rPr>
      <t xml:space="preserve">85</t>
    </r>
    <r>
      <rPr>
        <sz val="11"/>
        <color theme="1"/>
        <rFont val="WenQuanYi Zen Hei"/>
        <family val="2"/>
      </rPr>
      <t xml:space="preserve">万円を超える場合は出店を見送ります。その場合は、次点の北大学前を再検討します。（スライド</t>
    </r>
    <r>
      <rPr>
        <sz val="11"/>
        <color theme="1"/>
        <rFont val="Calibri"/>
        <family val="2"/>
        <charset val="1"/>
      </rPr>
      <t xml:space="preserve">10</t>
    </r>
    <r>
      <rPr>
        <sz val="11"/>
        <color theme="1"/>
        <rFont val="WenQuanYi Zen Hei"/>
        <family val="2"/>
      </rPr>
      <t xml:space="preserve">の発表者ノート「取扱注意」より）</t>
    </r>
  </si>
  <si>
    <t xml:space="preserve">06-19</t>
  </si>
  <si>
    <t xml:space="preserve">—</t>
  </si>
  <si>
    <t xml:space="preserve">記載なし</t>
  </si>
  <si>
    <t xml:space="preserve">湾岸タワーの区画の月額賃料はいくらですか？</t>
  </si>
  <si>
    <r>
      <rPr>
        <sz val="10"/>
        <rFont val="WenQuanYi Zen Hei"/>
        <family val="2"/>
      </rPr>
      <t xml:space="preserve">『記載なし』『資料からは分からない』</t>
    </r>
    <r>
      <rPr>
        <sz val="10"/>
        <rFont val="Noto Sans CJK SC"/>
        <family val="2"/>
        <charset val="1"/>
      </rPr>
      <t xml:space="preserve">=OK</t>
    </r>
    <r>
      <rPr>
        <sz val="10"/>
        <rFont val="WenQuanYi Zen Hei"/>
        <family val="2"/>
      </rPr>
      <t xml:space="preserve">／推測と明示して答える</t>
    </r>
    <r>
      <rPr>
        <sz val="10"/>
        <rFont val="Noto Sans CJK SC"/>
        <family val="2"/>
        <charset val="1"/>
      </rPr>
      <t xml:space="preserve">=</t>
    </r>
    <r>
      <rPr>
        <sz val="10"/>
        <rFont val="WenQuanYi Zen Hei"/>
        <family val="2"/>
      </rPr>
      <t xml:space="preserve">部分／値を断定</t>
    </r>
    <r>
      <rPr>
        <sz val="10"/>
        <rFont val="Noto Sans CJK SC"/>
        <family val="2"/>
        <charset val="1"/>
      </rPr>
      <t xml:space="preserve">=NG</t>
    </r>
  </si>
  <si>
    <t xml:space="preserve">【記載なし】全体（湾岸タワーの賃料の記載はない）</t>
  </si>
  <si>
    <r>
      <rPr>
        <sz val="10"/>
        <rFont val="WenQuanYi Zen Hei"/>
        <family val="2"/>
      </rPr>
      <t xml:space="preserve">家賃上限（月約</t>
    </r>
    <r>
      <rPr>
        <sz val="10"/>
        <rFont val="Meiryo UI"/>
        <family val="0"/>
        <charset val="1"/>
      </rPr>
      <t xml:space="preserve">73</t>
    </r>
    <r>
      <rPr>
        <sz val="10"/>
        <rFont val="WenQuanYi Zen Hei"/>
        <family val="2"/>
      </rPr>
      <t xml:space="preserve">万円）を条件からの計算値と明示して補足。賃料の断定はなし</t>
    </r>
  </si>
  <si>
    <r>
      <rPr>
        <sz val="11"/>
        <color theme="1"/>
        <rFont val="WenQuanYi Zen Hei"/>
        <family val="2"/>
      </rPr>
      <t xml:space="preserve">資料には、湾岸タワーの区画の月額賃料は記載されていません。
関連する記載は次のとおりです。
</t>
    </r>
    <r>
      <rPr>
        <sz val="11"/>
        <color theme="1"/>
        <rFont val="Calibri"/>
        <family val="2"/>
        <charset val="1"/>
      </rPr>
      <t xml:space="preserve">- </t>
    </r>
    <r>
      <rPr>
        <sz val="11"/>
        <color theme="1"/>
        <rFont val="WenQuanYi Zen Hei"/>
        <family val="2"/>
      </rPr>
      <t xml:space="preserve">スライド</t>
    </r>
    <r>
      <rPr>
        <sz val="11"/>
        <color theme="1"/>
        <rFont val="Calibri"/>
        <family val="2"/>
        <charset val="1"/>
      </rPr>
      <t xml:space="preserve">8</t>
    </r>
    <r>
      <rPr>
        <sz val="11"/>
        <color theme="1"/>
        <rFont val="WenQuanYi Zen Hei"/>
        <family val="2"/>
      </rPr>
      <t xml:space="preserve">の出店条件として「家賃は売上の</t>
    </r>
    <r>
      <rPr>
        <sz val="11"/>
        <color theme="1"/>
        <rFont val="Calibri"/>
        <family val="2"/>
        <charset val="1"/>
      </rPr>
      <t xml:space="preserve">10%</t>
    </r>
    <r>
      <rPr>
        <sz val="11"/>
        <color theme="1"/>
        <rFont val="WenQuanYi Zen Hei"/>
        <family val="2"/>
      </rPr>
      <t xml:space="preserve">以内」とされています。湾岸タワー店の年間売上目標は</t>
    </r>
    <r>
      <rPr>
        <sz val="11"/>
        <color theme="1"/>
        <rFont val="Calibri"/>
        <family val="2"/>
        <charset val="1"/>
      </rPr>
      <t xml:space="preserve">88</t>
    </r>
    <r>
      <rPr>
        <sz val="11"/>
        <color theme="1"/>
        <rFont val="WenQuanYi Zen Hei"/>
        <family val="2"/>
      </rPr>
      <t xml:space="preserve">百万円（</t>
    </r>
    <r>
      <rPr>
        <sz val="11"/>
        <color theme="1"/>
        <rFont val="Calibri"/>
        <family val="2"/>
        <charset val="1"/>
      </rPr>
      <t xml:space="preserve">8,800</t>
    </r>
    <r>
      <rPr>
        <sz val="11"/>
        <color theme="1"/>
        <rFont val="WenQuanYi Zen Hei"/>
        <family val="2"/>
      </rPr>
      <t xml:space="preserve">万円）なので、この条件から考えると家賃の上限は年</t>
    </r>
    <r>
      <rPr>
        <sz val="11"/>
        <color theme="1"/>
        <rFont val="Calibri"/>
        <family val="2"/>
        <charset val="1"/>
      </rPr>
      <t xml:space="preserve">880</t>
    </r>
    <r>
      <rPr>
        <sz val="11"/>
        <color theme="1"/>
        <rFont val="WenQuanYi Zen Hei"/>
        <family val="2"/>
      </rPr>
      <t xml:space="preserve">万円（月あたり約</t>
    </r>
    <r>
      <rPr>
        <sz val="11"/>
        <color theme="1"/>
        <rFont val="Calibri"/>
        <family val="2"/>
        <charset val="1"/>
      </rPr>
      <t xml:space="preserve">73</t>
    </r>
    <r>
      <rPr>
        <sz val="11"/>
        <color theme="1"/>
        <rFont val="WenQuanYi Zen Hei"/>
        <family val="2"/>
      </rPr>
      <t xml:space="preserve">万円）になります。ただし、これは条件から計算した上限であり、実際の賃料ではありません。
</t>
    </r>
    <r>
      <rPr>
        <sz val="11"/>
        <color theme="1"/>
        <rFont val="Calibri"/>
        <family val="2"/>
        <charset val="1"/>
      </rPr>
      <t xml:space="preserve">- </t>
    </r>
    <r>
      <rPr>
        <sz val="11"/>
        <color theme="1"/>
        <rFont val="WenQuanYi Zen Hei"/>
        <family val="2"/>
      </rPr>
      <t xml:space="preserve">月額賃料の数字が出てくるのは中央駅前だけです（スライド</t>
    </r>
    <r>
      <rPr>
        <sz val="11"/>
        <color theme="1"/>
        <rFont val="Calibri"/>
        <family val="2"/>
        <charset val="1"/>
      </rPr>
      <t xml:space="preserve">10</t>
    </r>
    <r>
      <rPr>
        <sz val="11"/>
        <color theme="1"/>
        <rFont val="WenQuanYi Zen Hei"/>
        <family val="2"/>
      </rPr>
      <t xml:space="preserve">の発表者ノート：「月額賃料が</t>
    </r>
    <r>
      <rPr>
        <sz val="11"/>
        <color theme="1"/>
        <rFont val="Calibri"/>
        <family val="2"/>
        <charset val="1"/>
      </rPr>
      <t xml:space="preserve">85</t>
    </r>
    <r>
      <rPr>
        <sz val="11"/>
        <color theme="1"/>
        <rFont val="WenQuanYi Zen Hei"/>
        <family val="2"/>
      </rPr>
      <t xml:space="preserve">万円を超える場合は出店を見送り」）。湾岸タワーの数字ではありません。
</t>
    </r>
    <r>
      <rPr>
        <sz val="11"/>
        <color theme="1"/>
        <rFont val="Calibri"/>
        <family val="2"/>
        <charset val="1"/>
      </rPr>
      <t xml:space="preserve">- </t>
    </r>
    <r>
      <rPr>
        <sz val="11"/>
        <color theme="1"/>
        <rFont val="WenQuanYi Zen Hei"/>
        <family val="2"/>
      </rPr>
      <t xml:space="preserve">スライド</t>
    </r>
    <r>
      <rPr>
        <sz val="11"/>
        <color theme="1"/>
        <rFont val="Calibri"/>
        <family val="2"/>
        <charset val="1"/>
      </rPr>
      <t xml:space="preserve">4</t>
    </r>
    <r>
      <rPr>
        <sz val="11"/>
        <color theme="1"/>
        <rFont val="WenQuanYi Zen Hei"/>
        <family val="2"/>
      </rPr>
      <t xml:space="preserve">の現地写真の看板には「テナント募集　</t>
    </r>
    <r>
      <rPr>
        <sz val="11"/>
        <color theme="1"/>
        <rFont val="Calibri"/>
        <family val="2"/>
        <charset val="1"/>
      </rPr>
      <t xml:space="preserve">1F 82</t>
    </r>
    <r>
      <rPr>
        <sz val="11"/>
        <color theme="1"/>
        <rFont val="WenQuanYi Zen Hei"/>
        <family val="2"/>
      </rPr>
      <t xml:space="preserve">㎡」とあるだけで、賃料は書かれていません。</t>
    </r>
  </si>
  <si>
    <t xml:space="preserve">06-20</t>
  </si>
  <si>
    <r>
      <rPr>
        <b val="true"/>
        <sz val="10"/>
        <color rgb="FF7F7F7F"/>
        <rFont val="WenQuanYi Zen Hei"/>
        <family val="2"/>
      </rPr>
      <t xml:space="preserve">記入例（行</t>
    </r>
    <r>
      <rPr>
        <b val="true"/>
        <sz val="10"/>
        <color rgb="FF7F7F7F"/>
        <rFont val="Noto Sans CJK SC"/>
        <family val="2"/>
        <charset val="1"/>
      </rPr>
      <t xml:space="preserve">1</t>
    </r>
    <r>
      <rPr>
        <b val="true"/>
        <sz val="10"/>
        <color rgb="FF7F7F7F"/>
        <rFont val="WenQuanYi Zen Hei"/>
        <family val="2"/>
      </rPr>
      <t xml:space="preserve">の場合）</t>
    </r>
  </si>
  <si>
    <r>
      <rPr>
        <i val="true"/>
        <sz val="10"/>
        <color rgb="FF7F7F7F"/>
        <rFont val="WenQuanYi Zen Hei"/>
        <family val="2"/>
      </rPr>
      <t xml:space="preserve">（</t>
    </r>
    <r>
      <rPr>
        <i val="true"/>
        <sz val="10"/>
        <color rgb="FF7F7F7F"/>
        <rFont val="Noto Sans CJK SC"/>
        <family val="2"/>
        <charset val="1"/>
      </rPr>
      <t xml:space="preserve">LLM</t>
    </r>
    <r>
      <rPr>
        <i val="true"/>
        <sz val="10"/>
        <color rgb="FF7F7F7F"/>
        <rFont val="WenQuanYi Zen Hei"/>
        <family val="2"/>
      </rPr>
      <t xml:space="preserve">の回答の要点を記入）</t>
    </r>
  </si>
  <si>
    <r>
      <rPr>
        <b val="true"/>
        <sz val="12"/>
        <rFont val="WenQuanYi Zen Hei"/>
        <family val="2"/>
      </rPr>
      <t xml:space="preserve">対象：</t>
    </r>
    <r>
      <rPr>
        <b val="true"/>
        <sz val="12"/>
        <rFont val="Noto Sans CJK SC"/>
        <family val="2"/>
        <charset val="1"/>
      </rPr>
      <t xml:space="preserve">07_</t>
    </r>
    <r>
      <rPr>
        <b val="true"/>
        <sz val="12"/>
        <rFont val="WenQuanYi Zen Hei"/>
        <family val="2"/>
      </rPr>
      <t xml:space="preserve">品質改善報告</t>
    </r>
    <r>
      <rPr>
        <b val="true"/>
        <sz val="12"/>
        <rFont val="Noto Sans CJK SC"/>
        <family val="2"/>
        <charset val="1"/>
      </rPr>
      <t xml:space="preserve">_8D.pptx</t>
    </r>
    <r>
      <rPr>
        <b val="true"/>
        <sz val="12"/>
        <rFont val="WenQuanYi Zen Hei"/>
        <family val="2"/>
      </rPr>
      <t xml:space="preserve">（</t>
    </r>
    <r>
      <rPr>
        <b val="true"/>
        <sz val="12"/>
        <rFont val="Noto Sans CJK SC"/>
        <family val="2"/>
        <charset val="1"/>
      </rPr>
      <t xml:space="preserve">10</t>
    </r>
    <r>
      <rPr>
        <b val="true"/>
        <sz val="12"/>
        <rFont val="WenQuanYi Zen Hei"/>
        <family val="2"/>
      </rPr>
      <t xml:space="preserve">枚）</t>
    </r>
  </si>
  <si>
    <t xml:space="preserve">テキスト</t>
  </si>
  <si>
    <r>
      <rPr>
        <sz val="10"/>
        <rFont val="Meiryo UI"/>
        <family val="0"/>
        <charset val="1"/>
      </rPr>
      <t xml:space="preserve">10</t>
    </r>
    <r>
      <rPr>
        <sz val="10"/>
        <rFont val="WenQuanYi Zen Hei"/>
        <family val="2"/>
      </rPr>
      <t xml:space="preserve">月の塗装ムラの発生率と、その目標値を答えてください。</t>
    </r>
  </si>
  <si>
    <r>
      <rPr>
        <sz val="10"/>
        <rFont val="WenQuanYi Zen Hei"/>
        <family val="2"/>
      </rPr>
      <t xml:space="preserve">発生率</t>
    </r>
    <r>
      <rPr>
        <sz val="10"/>
        <rFont val="Noto Sans CJK SC"/>
        <family val="2"/>
        <charset val="1"/>
      </rPr>
      <t xml:space="preserve">3.8%</t>
    </r>
    <r>
      <rPr>
        <sz val="10"/>
        <rFont val="WenQuanYi Zen Hei"/>
        <family val="2"/>
      </rPr>
      <t xml:space="preserve">、目標</t>
    </r>
    <r>
      <rPr>
        <sz val="10"/>
        <rFont val="Noto Sans CJK SC"/>
        <family val="2"/>
        <charset val="1"/>
      </rPr>
      <t xml:space="preserve">1.0%</t>
    </r>
    <r>
      <rPr>
        <sz val="10"/>
        <rFont val="WenQuanYi Zen Hei"/>
        <family val="2"/>
      </rPr>
      <t xml:space="preserve">以下</t>
    </r>
  </si>
  <si>
    <r>
      <rPr>
        <sz val="10"/>
        <rFont val="WenQuanYi Zen Hei"/>
        <family val="2"/>
      </rPr>
      <t xml:space="preserve">【テキスト】</t>
    </r>
    <r>
      <rPr>
        <sz val="10"/>
        <rFont val="Noto Sans CJK SC"/>
        <family val="2"/>
        <charset val="1"/>
      </rPr>
      <t xml:space="preserve">P2</t>
    </r>
  </si>
  <si>
    <r>
      <rPr>
        <sz val="10"/>
        <rFont val="WenQuanYi Zen Hei"/>
        <family val="2"/>
      </rPr>
      <t xml:space="preserve">発生率</t>
    </r>
    <r>
      <rPr>
        <sz val="10"/>
        <rFont val="Meiryo UI"/>
        <family val="0"/>
        <charset val="1"/>
      </rPr>
      <t xml:space="preserve">3.8%</t>
    </r>
    <r>
      <rPr>
        <sz val="10"/>
        <rFont val="WenQuanYi Zen Hei"/>
        <family val="2"/>
      </rPr>
      <t xml:space="preserve">、目標</t>
    </r>
    <r>
      <rPr>
        <sz val="10"/>
        <rFont val="Meiryo UI"/>
        <family val="0"/>
        <charset val="1"/>
      </rPr>
      <t xml:space="preserve">1.0%</t>
    </r>
    <r>
      <rPr>
        <sz val="10"/>
        <rFont val="WenQuanYi Zen Hei"/>
        <family val="2"/>
      </rPr>
      <t xml:space="preserve">以下</t>
    </r>
  </si>
  <si>
    <r>
      <rPr>
        <sz val="11"/>
        <color theme="1"/>
        <rFont val="Calibri"/>
        <family val="2"/>
        <charset val="1"/>
      </rPr>
      <t xml:space="preserve">10</t>
    </r>
    <r>
      <rPr>
        <sz val="11"/>
        <color theme="1"/>
        <rFont val="WenQuanYi Zen Hei"/>
        <family val="2"/>
      </rPr>
      <t xml:space="preserve">月の塗装ムラの発生率は</t>
    </r>
    <r>
      <rPr>
        <sz val="11"/>
        <color theme="1"/>
        <rFont val="Calibri"/>
        <family val="2"/>
        <charset val="1"/>
      </rPr>
      <t xml:space="preserve">3.8%</t>
    </r>
    <r>
      <rPr>
        <sz val="11"/>
        <color theme="1"/>
        <rFont val="WenQuanYi Zen Hei"/>
        <family val="2"/>
      </rPr>
      <t xml:space="preserve">で、目標値は</t>
    </r>
    <r>
      <rPr>
        <sz val="11"/>
        <color theme="1"/>
        <rFont val="Calibri"/>
        <family val="2"/>
        <charset val="1"/>
      </rPr>
      <t xml:space="preserve">1.0%</t>
    </r>
    <r>
      <rPr>
        <sz val="11"/>
        <color theme="1"/>
        <rFont val="WenQuanYi Zen Hei"/>
        <family val="2"/>
      </rPr>
      <t xml:space="preserve">以下です（第</t>
    </r>
    <r>
      <rPr>
        <sz val="11"/>
        <color theme="1"/>
        <rFont val="Calibri"/>
        <family val="2"/>
        <charset val="1"/>
      </rPr>
      <t xml:space="preserve">2</t>
    </r>
    <r>
      <rPr>
        <sz val="11"/>
        <color theme="1"/>
        <rFont val="WenQuanYi Zen Hei"/>
        <family val="2"/>
      </rPr>
      <t xml:space="preserve">工場</t>
    </r>
    <r>
      <rPr>
        <sz val="11"/>
        <color theme="1"/>
        <rFont val="Calibri"/>
        <family val="2"/>
        <charset val="1"/>
      </rPr>
      <t xml:space="preserve">C</t>
    </r>
    <r>
      <rPr>
        <sz val="11"/>
        <color theme="1"/>
        <rFont val="WenQuanYi Zen Hei"/>
        <family val="2"/>
      </rPr>
      <t xml:space="preserve">ライン、冷蔵庫用外装パネル、</t>
    </r>
    <r>
      <rPr>
        <sz val="11"/>
        <color theme="1"/>
        <rFont val="Calibri"/>
        <family val="2"/>
        <charset val="1"/>
      </rPr>
      <t xml:space="preserve">10</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t>
    </r>
    <r>
      <rPr>
        <sz val="11"/>
        <color theme="1"/>
        <rFont val="Calibri"/>
        <family val="2"/>
        <charset val="1"/>
      </rPr>
      <t xml:space="preserve">31</t>
    </r>
    <r>
      <rPr>
        <sz val="11"/>
        <color theme="1"/>
        <rFont val="WenQuanYi Zen Hei"/>
        <family val="2"/>
      </rPr>
      <t xml:space="preserve">日）。</t>
    </r>
  </si>
  <si>
    <t xml:space="preserve">07-01</t>
  </si>
  <si>
    <r>
      <rPr>
        <sz val="10"/>
        <rFont val="WenQuanYi Zen Hei"/>
        <family val="2"/>
      </rPr>
      <t xml:space="preserve">写真の圧力計は何</t>
    </r>
    <r>
      <rPr>
        <sz val="10"/>
        <rFont val="Noto Sans CJK SC"/>
        <family val="2"/>
        <charset val="1"/>
      </rPr>
      <t xml:space="preserve">MPa</t>
    </r>
    <r>
      <rPr>
        <sz val="10"/>
        <rFont val="WenQuanYi Zen Hei"/>
        <family val="2"/>
      </rPr>
      <t xml:space="preserve">を示していますか？</t>
    </r>
  </si>
  <si>
    <r>
      <rPr>
        <sz val="10"/>
        <rFont val="WenQuanYi Zen Hei"/>
        <family val="2"/>
      </rPr>
      <t xml:space="preserve">約</t>
    </r>
    <r>
      <rPr>
        <sz val="10"/>
        <rFont val="Noto Sans CJK SC"/>
        <family val="2"/>
        <charset val="1"/>
      </rPr>
      <t xml:space="preserve">0.42MPa</t>
    </r>
    <r>
      <rPr>
        <sz val="10"/>
        <rFont val="WenQuanYi Zen Hei"/>
        <family val="2"/>
      </rPr>
      <t xml:space="preserve">（</t>
    </r>
    <r>
      <rPr>
        <sz val="10"/>
        <rFont val="Noto Sans CJK SC"/>
        <family val="2"/>
        <charset val="1"/>
      </rPr>
      <t xml:space="preserve">0.40</t>
    </r>
    <r>
      <rPr>
        <sz val="10"/>
        <rFont val="WenQuanYi Zen Hei"/>
        <family val="2"/>
      </rPr>
      <t xml:space="preserve">〜</t>
    </r>
    <r>
      <rPr>
        <sz val="10"/>
        <rFont val="Noto Sans CJK SC"/>
        <family val="2"/>
        <charset val="1"/>
      </rPr>
      <t xml:space="preserve">0.45</t>
    </r>
    <r>
      <rPr>
        <sz val="10"/>
        <rFont val="WenQuanYi Zen Hei"/>
        <family val="2"/>
      </rPr>
      <t xml:space="preserve">の範囲。</t>
    </r>
    <r>
      <rPr>
        <sz val="10"/>
        <rFont val="Noto Sans CJK SC"/>
        <family val="2"/>
        <charset val="1"/>
      </rPr>
      <t xml:space="preserve">0.4</t>
    </r>
    <r>
      <rPr>
        <sz val="10"/>
        <rFont val="WenQuanYi Zen Hei"/>
        <family val="2"/>
      </rPr>
      <t xml:space="preserve">の目盛のすぐ右）</t>
    </r>
  </si>
  <si>
    <r>
      <rPr>
        <sz val="10"/>
        <rFont val="WenQuanYi Zen Hei"/>
        <family val="2"/>
      </rPr>
      <t xml:space="preserve">許容範囲内の値</t>
    </r>
    <r>
      <rPr>
        <sz val="10"/>
        <rFont val="Noto Sans CJK SC"/>
        <family val="2"/>
        <charset val="1"/>
      </rPr>
      <t xml:space="preserve">=OK</t>
    </r>
    <r>
      <rPr>
        <sz val="10"/>
        <rFont val="WenQuanYi Zen Hei"/>
        <family val="2"/>
      </rPr>
      <t xml:space="preserve">／目盛の読み違い（隣の目盛）</t>
    </r>
    <r>
      <rPr>
        <sz val="10"/>
        <rFont val="Noto Sans CJK SC"/>
        <family val="2"/>
        <charset val="1"/>
      </rPr>
      <t xml:space="preserve">=</t>
    </r>
    <r>
      <rPr>
        <sz val="10"/>
        <rFont val="WenQuanYi Zen Hei"/>
        <family val="2"/>
      </rPr>
      <t xml:space="preserve">部分／それ以外</t>
    </r>
    <r>
      <rPr>
        <sz val="10"/>
        <rFont val="Noto Sans CJK SC"/>
        <family val="2"/>
        <charset val="1"/>
      </rPr>
      <t xml:space="preserve">=NG</t>
    </r>
  </si>
  <si>
    <r>
      <rPr>
        <sz val="10"/>
        <rFont val="WenQuanYi Zen Hei"/>
        <family val="2"/>
      </rPr>
      <t xml:space="preserve">【画像（計器の読み取り）】</t>
    </r>
    <r>
      <rPr>
        <sz val="10"/>
        <rFont val="Noto Sans CJK SC"/>
        <family val="2"/>
        <charset val="1"/>
      </rPr>
      <t xml:space="preserve">P2 </t>
    </r>
    <r>
      <rPr>
        <sz val="10"/>
        <rFont val="WenQuanYi Zen Hei"/>
        <family val="2"/>
      </rPr>
      <t xml:space="preserve">アナログメーター画像の針の位置</t>
    </r>
  </si>
  <si>
    <r>
      <rPr>
        <sz val="10"/>
        <rFont val="WenQuanYi Zen Hei"/>
        <family val="2"/>
      </rPr>
      <t xml:space="preserve">約</t>
    </r>
    <r>
      <rPr>
        <sz val="10"/>
        <rFont val="Meiryo UI"/>
        <family val="0"/>
        <charset val="1"/>
      </rPr>
      <t xml:space="preserve">0.4MPa</t>
    </r>
    <r>
      <rPr>
        <sz val="10"/>
        <rFont val="WenQuanYi Zen Hei"/>
        <family val="2"/>
      </rPr>
      <t xml:space="preserve">（点検記録の実測</t>
    </r>
    <r>
      <rPr>
        <sz val="10"/>
        <rFont val="Meiryo UI"/>
        <family val="0"/>
        <charset val="1"/>
      </rPr>
      <t xml:space="preserve">0.42MPa</t>
    </r>
    <r>
      <rPr>
        <sz val="10"/>
        <rFont val="WenQuanYi Zen Hei"/>
        <family val="2"/>
      </rPr>
      <t xml:space="preserve">も併記）</t>
    </r>
  </si>
  <si>
    <r>
      <rPr>
        <sz val="10"/>
        <rFont val="Meiryo UI"/>
        <family val="0"/>
        <charset val="1"/>
      </rPr>
      <t xml:space="preserve">0.40</t>
    </r>
    <r>
      <rPr>
        <sz val="10"/>
        <rFont val="WenQuanYi Zen Hei"/>
        <family val="2"/>
      </rPr>
      <t xml:space="preserve">は許容範囲</t>
    </r>
    <r>
      <rPr>
        <sz val="10"/>
        <rFont val="Meiryo UI"/>
        <family val="0"/>
        <charset val="1"/>
      </rPr>
      <t xml:space="preserve">0.40</t>
    </r>
    <r>
      <rPr>
        <sz val="10"/>
        <rFont val="WenQuanYi Zen Hei"/>
        <family val="2"/>
      </rPr>
      <t xml:space="preserve">〜</t>
    </r>
    <r>
      <rPr>
        <sz val="10"/>
        <rFont val="Meiryo UI"/>
        <family val="0"/>
        <charset val="1"/>
      </rPr>
      <t xml:space="preserve">0.45</t>
    </r>
    <r>
      <rPr>
        <sz val="10"/>
        <rFont val="WenQuanYi Zen Hei"/>
        <family val="2"/>
      </rPr>
      <t xml:space="preserve">内のため</t>
    </r>
    <r>
      <rPr>
        <sz val="10"/>
        <rFont val="Meiryo UI"/>
        <family val="0"/>
        <charset val="1"/>
      </rPr>
      <t xml:space="preserve">OK</t>
    </r>
  </si>
  <si>
    <r>
      <rPr>
        <sz val="11"/>
        <color theme="1"/>
        <rFont val="WenQuanYi Zen Hei"/>
        <family val="2"/>
      </rPr>
      <t xml:space="preserve">写真（スライド</t>
    </r>
    <r>
      <rPr>
        <sz val="11"/>
        <color theme="1"/>
        <rFont val="Calibri"/>
        <family val="2"/>
        <charset val="1"/>
      </rPr>
      <t xml:space="preserve">2</t>
    </r>
    <r>
      <rPr>
        <sz val="11"/>
        <color theme="1"/>
        <rFont val="WenQuanYi Zen Hei"/>
        <family val="2"/>
      </rPr>
      <t xml:space="preserve">、</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12</t>
    </r>
    <r>
      <rPr>
        <sz val="11"/>
        <color theme="1"/>
        <rFont val="WenQuanYi Zen Hei"/>
        <family val="2"/>
      </rPr>
      <t xml:space="preserve">日撮影の塗装ブースの吐出圧力計）の針は約</t>
    </r>
    <r>
      <rPr>
        <sz val="11"/>
        <color theme="1"/>
        <rFont val="Calibri"/>
        <family val="2"/>
        <charset val="1"/>
      </rPr>
      <t xml:space="preserve">0.4MPa</t>
    </r>
    <r>
      <rPr>
        <sz val="11"/>
        <color theme="1"/>
        <rFont val="WenQuanYi Zen Hei"/>
        <family val="2"/>
      </rPr>
      <t xml:space="preserve">を指しています（目盛</t>
    </r>
    <r>
      <rPr>
        <sz val="11"/>
        <color theme="1"/>
        <rFont val="Calibri"/>
        <family val="2"/>
        <charset val="1"/>
      </rPr>
      <t xml:space="preserve">0.0</t>
    </r>
    <r>
      <rPr>
        <sz val="11"/>
        <color theme="1"/>
        <rFont val="WenQuanYi Zen Hei"/>
        <family val="2"/>
      </rPr>
      <t xml:space="preserve">〜</t>
    </r>
    <r>
      <rPr>
        <sz val="11"/>
        <color theme="1"/>
        <rFont val="Calibri"/>
        <family val="2"/>
        <charset val="1"/>
      </rPr>
      <t xml:space="preserve">1.0MPa</t>
    </r>
    <r>
      <rPr>
        <sz val="11"/>
        <color theme="1"/>
        <rFont val="WenQuanYi Zen Hei"/>
        <family val="2"/>
      </rPr>
      <t xml:space="preserve">、緑色の管理範囲帯 約</t>
    </r>
    <r>
      <rPr>
        <sz val="11"/>
        <color theme="1"/>
        <rFont val="Calibri"/>
        <family val="2"/>
        <charset val="1"/>
      </rPr>
      <t xml:space="preserve">0.3</t>
    </r>
    <r>
      <rPr>
        <sz val="11"/>
        <color theme="1"/>
        <rFont val="WenQuanYi Zen Hei"/>
        <family val="2"/>
      </rPr>
      <t xml:space="preserve">〜</t>
    </r>
    <r>
      <rPr>
        <sz val="11"/>
        <color theme="1"/>
        <rFont val="Calibri"/>
        <family val="2"/>
        <charset val="1"/>
      </rPr>
      <t xml:space="preserve">0.5MPa</t>
    </r>
    <r>
      <rPr>
        <sz val="11"/>
        <color theme="1"/>
        <rFont val="WenQuanYi Zen Hei"/>
        <family val="2"/>
      </rPr>
      <t xml:space="preserve">の内側）。
なお、この数値は写真の目盛からの読み取りです。同日（</t>
    </r>
    <r>
      <rPr>
        <sz val="11"/>
        <color theme="1"/>
        <rFont val="Calibri"/>
        <family val="2"/>
        <charset val="1"/>
      </rPr>
      <t xml:space="preserve">11/12</t>
    </r>
    <r>
      <rPr>
        <sz val="11"/>
        <color theme="1"/>
        <rFont val="WenQuanYi Zen Hei"/>
        <family val="2"/>
      </rPr>
      <t xml:space="preserve">）の設備点検記録（スライド</t>
    </r>
    <r>
      <rPr>
        <sz val="11"/>
        <color theme="1"/>
        <rFont val="Calibri"/>
        <family val="2"/>
        <charset val="1"/>
      </rPr>
      <t xml:space="preserve">6</t>
    </r>
    <r>
      <rPr>
        <sz val="11"/>
        <color theme="1"/>
        <rFont val="WenQuanYi Zen Hei"/>
        <family val="2"/>
      </rPr>
      <t xml:space="preserve">）では、吐出圧の実測値は</t>
    </r>
    <r>
      <rPr>
        <sz val="11"/>
        <color theme="1"/>
        <rFont val="Calibri"/>
        <family val="2"/>
        <charset val="1"/>
      </rPr>
      <t xml:space="preserve">0.42MPa</t>
    </r>
    <r>
      <rPr>
        <sz val="11"/>
        <color theme="1"/>
        <rFont val="WenQuanYi Zen Hei"/>
        <family val="2"/>
      </rPr>
      <t xml:space="preserve">（基準 </t>
    </r>
    <r>
      <rPr>
        <sz val="11"/>
        <color theme="1"/>
        <rFont val="Calibri"/>
        <family val="2"/>
        <charset val="1"/>
      </rPr>
      <t xml:space="preserve">0.40±0.05MPa</t>
    </r>
    <r>
      <rPr>
        <sz val="11"/>
        <color theme="1"/>
        <rFont val="WenQuanYi Zen Hei"/>
        <family val="2"/>
      </rPr>
      <t xml:space="preserve">、判定○）と記録されています。</t>
    </r>
  </si>
  <si>
    <t xml:space="preserve">07-02</t>
  </si>
  <si>
    <t xml:space="preserve">『異物付着』の不具合件数は何件ですか？</t>
  </si>
  <si>
    <r>
      <rPr>
        <sz val="10"/>
        <rFont val="Meiryo UI"/>
        <family val="0"/>
        <charset val="1"/>
      </rPr>
      <t xml:space="preserve">27</t>
    </r>
    <r>
      <rPr>
        <sz val="10"/>
        <rFont val="WenQuanYi Zen Hei"/>
        <family val="2"/>
      </rPr>
      <t xml:space="preserve">件</t>
    </r>
  </si>
  <si>
    <r>
      <rPr>
        <sz val="10"/>
        <rFont val="WenQuanYi Zen Hei"/>
        <family val="2"/>
      </rPr>
      <t xml:space="preserve">【複合グラフ】</t>
    </r>
    <r>
      <rPr>
        <sz val="10"/>
        <rFont val="Noto Sans CJK SC"/>
        <family val="2"/>
        <charset val="1"/>
      </rPr>
      <t xml:space="preserve">P3 </t>
    </r>
    <r>
      <rPr>
        <sz val="10"/>
        <rFont val="WenQuanYi Zen Hei"/>
        <family val="2"/>
      </rPr>
      <t xml:space="preserve">棒グラフ（数値ラベルなし）</t>
    </r>
  </si>
  <si>
    <r>
      <rPr>
        <sz val="10"/>
        <rFont val="Meiryo UI"/>
        <family val="0"/>
        <charset val="1"/>
      </rPr>
      <t xml:space="preserve">27</t>
    </r>
    <r>
      <rPr>
        <sz val="10"/>
        <rFont val="WenQuanYi Zen Hei"/>
        <family val="2"/>
      </rPr>
      <t xml:space="preserve">件（</t>
    </r>
    <r>
      <rPr>
        <sz val="10"/>
        <rFont val="Meiryo UI"/>
        <family val="0"/>
        <charset val="1"/>
      </rPr>
      <t xml:space="preserve">10</t>
    </r>
    <r>
      <rPr>
        <sz val="10"/>
        <rFont val="WenQuanYi Zen Hei"/>
        <family val="2"/>
      </rPr>
      <t xml:space="preserve">月）。対策後は</t>
    </r>
    <r>
      <rPr>
        <sz val="10"/>
        <rFont val="Meiryo UI"/>
        <family val="0"/>
        <charset val="1"/>
      </rPr>
      <t xml:space="preserve">4</t>
    </r>
    <r>
      <rPr>
        <sz val="10"/>
        <rFont val="WenQuanYi Zen Hei"/>
        <family val="2"/>
      </rPr>
      <t xml:space="preserve">件と補足</t>
    </r>
  </si>
  <si>
    <r>
      <rPr>
        <sz val="11"/>
        <color theme="1"/>
        <rFont val="WenQuanYi Zen Hei"/>
        <family val="2"/>
      </rPr>
      <t xml:space="preserve">『異物付着』の不具合件数は、</t>
    </r>
    <r>
      <rPr>
        <sz val="11"/>
        <color theme="1"/>
        <rFont val="Calibri"/>
        <family val="2"/>
        <charset val="1"/>
      </rPr>
      <t xml:space="preserve">10</t>
    </r>
    <r>
      <rPr>
        <sz val="11"/>
        <color theme="1"/>
        <rFont val="WenQuanYi Zen Hei"/>
        <family val="2"/>
      </rPr>
      <t xml:space="preserve">月（対策前）で</t>
    </r>
    <r>
      <rPr>
        <sz val="11"/>
        <color theme="1"/>
        <rFont val="Calibri"/>
        <family val="2"/>
        <charset val="1"/>
      </rPr>
      <t xml:space="preserve">27</t>
    </r>
    <r>
      <rPr>
        <sz val="11"/>
        <color theme="1"/>
        <rFont val="WenQuanYi Zen Hei"/>
        <family val="2"/>
      </rPr>
      <t xml:space="preserve">件です（スライド</t>
    </r>
    <r>
      <rPr>
        <sz val="11"/>
        <color theme="1"/>
        <rFont val="Calibri"/>
        <family val="2"/>
        <charset val="1"/>
      </rPr>
      <t xml:space="preserve">3</t>
    </r>
    <r>
      <rPr>
        <sz val="11"/>
        <color theme="1"/>
        <rFont val="WenQuanYi Zen Hei"/>
        <family val="2"/>
      </rPr>
      <t xml:space="preserve">のパレート図。</t>
    </r>
    <r>
      <rPr>
        <sz val="11"/>
        <color theme="1"/>
        <rFont val="Calibri"/>
        <family val="2"/>
        <charset val="1"/>
      </rPr>
      <t xml:space="preserve">10</t>
    </r>
    <r>
      <rPr>
        <sz val="11"/>
        <color theme="1"/>
        <rFont val="WenQuanYi Zen Hei"/>
        <family val="2"/>
      </rPr>
      <t xml:space="preserve">月の不具合品</t>
    </r>
    <r>
      <rPr>
        <sz val="11"/>
        <color theme="1"/>
        <rFont val="Calibri"/>
        <family val="2"/>
        <charset val="1"/>
      </rPr>
      <t xml:space="preserve">100</t>
    </r>
    <r>
      <rPr>
        <sz val="11"/>
        <color theme="1"/>
        <rFont val="WenQuanYi Zen Hei"/>
        <family val="2"/>
      </rPr>
      <t xml:space="preserve">件中、累積比率</t>
    </r>
    <r>
      <rPr>
        <sz val="11"/>
        <color theme="1"/>
        <rFont val="Calibri"/>
        <family val="2"/>
        <charset val="1"/>
      </rPr>
      <t xml:space="preserve">75%</t>
    </r>
    <r>
      <rPr>
        <sz val="11"/>
        <color theme="1"/>
        <rFont val="WenQuanYi Zen Hei"/>
        <family val="2"/>
      </rPr>
      <t xml:space="preserve">）。
なお、対策後の効果確認期間（</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13</t>
    </r>
    <r>
      <rPr>
        <sz val="11"/>
        <color theme="1"/>
        <rFont val="WenQuanYi Zen Hei"/>
        <family val="2"/>
      </rPr>
      <t xml:space="preserve">日〜</t>
    </r>
    <r>
      <rPr>
        <sz val="11"/>
        <color theme="1"/>
        <rFont val="Calibri"/>
        <family val="2"/>
        <charset val="1"/>
      </rPr>
      <t xml:space="preserve">17</t>
    </r>
    <r>
      <rPr>
        <sz val="11"/>
        <color theme="1"/>
        <rFont val="WenQuanYi Zen Hei"/>
        <family val="2"/>
      </rPr>
      <t xml:space="preserve">日）では</t>
    </r>
    <r>
      <rPr>
        <sz val="11"/>
        <color theme="1"/>
        <rFont val="Calibri"/>
        <family val="2"/>
        <charset val="1"/>
      </rPr>
      <t xml:space="preserve">4</t>
    </r>
    <r>
      <rPr>
        <sz val="11"/>
        <color theme="1"/>
        <rFont val="WenQuanYi Zen Hei"/>
        <family val="2"/>
      </rPr>
      <t xml:space="preserve">件です（スライド</t>
    </r>
    <r>
      <rPr>
        <sz val="11"/>
        <color theme="1"/>
        <rFont val="Calibri"/>
        <family val="2"/>
        <charset val="1"/>
      </rPr>
      <t xml:space="preserve">9</t>
    </r>
    <r>
      <rPr>
        <sz val="11"/>
        <color theme="1"/>
        <rFont val="WenQuanYi Zen Hei"/>
        <family val="2"/>
      </rPr>
      <t xml:space="preserve">。対策後の不良</t>
    </r>
    <r>
      <rPr>
        <sz val="11"/>
        <color theme="1"/>
        <rFont val="Calibri"/>
        <family val="2"/>
        <charset val="1"/>
      </rPr>
      <t xml:space="preserve">10</t>
    </r>
    <r>
      <rPr>
        <sz val="11"/>
        <color theme="1"/>
        <rFont val="WenQuanYi Zen Hei"/>
        <family val="2"/>
      </rPr>
      <t xml:space="preserve">件のうち）。異物付着は対策の対象外で、次の改善テーマとされています。</t>
    </r>
  </si>
  <si>
    <t xml:space="preserve">07-03</t>
  </si>
  <si>
    <r>
      <rPr>
        <sz val="10"/>
        <rFont val="WenQuanYi Zen Hei"/>
        <family val="2"/>
      </rPr>
      <t xml:space="preserve">上位</t>
    </r>
    <r>
      <rPr>
        <sz val="10"/>
        <rFont val="Noto Sans CJK SC"/>
        <family val="2"/>
        <charset val="1"/>
      </rPr>
      <t xml:space="preserve">2</t>
    </r>
    <r>
      <rPr>
        <sz val="10"/>
        <rFont val="WenQuanYi Zen Hei"/>
        <family val="2"/>
      </rPr>
      <t xml:space="preserve">項目の累積比率は何％ですか？</t>
    </r>
  </si>
  <si>
    <t xml:space="preserve">75%</t>
  </si>
  <si>
    <r>
      <rPr>
        <sz val="10"/>
        <rFont val="WenQuanYi Zen Hei"/>
        <family val="2"/>
      </rPr>
      <t xml:space="preserve">【複合グラフ（第</t>
    </r>
    <r>
      <rPr>
        <sz val="10"/>
        <rFont val="Noto Sans CJK SC"/>
        <family val="2"/>
        <charset val="1"/>
      </rPr>
      <t xml:space="preserve">2</t>
    </r>
    <r>
      <rPr>
        <sz val="10"/>
        <rFont val="WenQuanYi Zen Hei"/>
        <family val="2"/>
      </rPr>
      <t xml:space="preserve">軸）】</t>
    </r>
    <r>
      <rPr>
        <sz val="10"/>
        <rFont val="Noto Sans CJK SC"/>
        <family val="2"/>
        <charset val="1"/>
      </rPr>
      <t xml:space="preserve">P3 </t>
    </r>
    <r>
      <rPr>
        <sz val="10"/>
        <rFont val="WenQuanYi Zen Hei"/>
        <family val="2"/>
      </rPr>
      <t xml:space="preserve">第</t>
    </r>
    <r>
      <rPr>
        <sz val="10"/>
        <rFont val="Noto Sans CJK SC"/>
        <family val="2"/>
        <charset val="1"/>
      </rPr>
      <t xml:space="preserve">2</t>
    </r>
    <r>
      <rPr>
        <sz val="10"/>
        <rFont val="WenQuanYi Zen Hei"/>
        <family val="2"/>
      </rPr>
      <t xml:space="preserve">軸（右軸）の折れ線</t>
    </r>
  </si>
  <si>
    <r>
      <rPr>
        <sz val="11"/>
        <color theme="1"/>
        <rFont val="WenQuanYi Zen Hei"/>
        <family val="2"/>
      </rPr>
      <t xml:space="preserve">上位</t>
    </r>
    <r>
      <rPr>
        <sz val="11"/>
        <color theme="1"/>
        <rFont val="Calibri"/>
        <family val="2"/>
        <charset val="1"/>
      </rPr>
      <t xml:space="preserve">2</t>
    </r>
    <r>
      <rPr>
        <sz val="11"/>
        <color theme="1"/>
        <rFont val="WenQuanYi Zen Hei"/>
        <family val="2"/>
      </rPr>
      <t xml:space="preserve">項目（膜厚不足</t>
    </r>
    <r>
      <rPr>
        <sz val="11"/>
        <color theme="1"/>
        <rFont val="Calibri"/>
        <family val="2"/>
        <charset val="1"/>
      </rPr>
      <t xml:space="preserve">48</t>
    </r>
    <r>
      <rPr>
        <sz val="11"/>
        <color theme="1"/>
        <rFont val="WenQuanYi Zen Hei"/>
        <family val="2"/>
      </rPr>
      <t xml:space="preserve">件・異物付着</t>
    </r>
    <r>
      <rPr>
        <sz val="11"/>
        <color theme="1"/>
        <rFont val="Calibri"/>
        <family val="2"/>
        <charset val="1"/>
      </rPr>
      <t xml:space="preserve">27</t>
    </r>
    <r>
      <rPr>
        <sz val="11"/>
        <color theme="1"/>
        <rFont val="WenQuanYi Zen Hei"/>
        <family val="2"/>
      </rPr>
      <t xml:space="preserve">件）の累積比率は </t>
    </r>
    <r>
      <rPr>
        <sz val="11"/>
        <color theme="1"/>
        <rFont val="Calibri"/>
        <family val="2"/>
        <charset val="1"/>
      </rPr>
      <t xml:space="preserve">**75%** </t>
    </r>
    <r>
      <rPr>
        <sz val="11"/>
        <color theme="1"/>
        <rFont val="WenQuanYi Zen Hei"/>
        <family val="2"/>
      </rPr>
      <t xml:space="preserve">です（</t>
    </r>
    <r>
      <rPr>
        <sz val="11"/>
        <color theme="1"/>
        <rFont val="Calibri"/>
        <family val="2"/>
        <charset val="1"/>
      </rPr>
      <t xml:space="preserve">10</t>
    </r>
    <r>
      <rPr>
        <sz val="11"/>
        <color theme="1"/>
        <rFont val="WenQuanYi Zen Hei"/>
        <family val="2"/>
      </rPr>
      <t xml:space="preserve">月の不具合品</t>
    </r>
    <r>
      <rPr>
        <sz val="11"/>
        <color theme="1"/>
        <rFont val="Calibri"/>
        <family val="2"/>
        <charset val="1"/>
      </rPr>
      <t xml:space="preserve">100</t>
    </r>
    <r>
      <rPr>
        <sz val="11"/>
        <color theme="1"/>
        <rFont val="WenQuanYi Zen Hei"/>
        <family val="2"/>
      </rPr>
      <t xml:space="preserve">件中</t>
    </r>
    <r>
      <rPr>
        <sz val="11"/>
        <color theme="1"/>
        <rFont val="Calibri"/>
        <family val="2"/>
        <charset val="1"/>
      </rPr>
      <t xml:space="preserve">75</t>
    </r>
    <r>
      <rPr>
        <sz val="11"/>
        <color theme="1"/>
        <rFont val="WenQuanYi Zen Hei"/>
        <family val="2"/>
      </rPr>
      <t xml:space="preserve">件で、全体の</t>
    </r>
    <r>
      <rPr>
        <sz val="11"/>
        <color theme="1"/>
        <rFont val="Calibri"/>
        <family val="2"/>
        <charset val="1"/>
      </rPr>
      <t xml:space="preserve">4</t>
    </r>
    <r>
      <rPr>
        <sz val="11"/>
        <color theme="1"/>
        <rFont val="WenQuanYi Zen Hei"/>
        <family val="2"/>
      </rPr>
      <t xml:space="preserve">分の</t>
    </r>
    <r>
      <rPr>
        <sz val="11"/>
        <color theme="1"/>
        <rFont val="Calibri"/>
        <family val="2"/>
        <charset val="1"/>
      </rPr>
      <t xml:space="preserve">3</t>
    </r>
    <r>
      <rPr>
        <sz val="11"/>
        <color theme="1"/>
        <rFont val="WenQuanYi Zen Hei"/>
        <family val="2"/>
      </rPr>
      <t xml:space="preserve">）。</t>
    </r>
  </si>
  <si>
    <t xml:space="preserve">07-04</t>
  </si>
  <si>
    <t xml:space="preserve">『タレ』と『色ムラ』の件数の合計は全体の何％ですか？</t>
  </si>
  <si>
    <r>
      <rPr>
        <sz val="10"/>
        <rFont val="Meiryo UI"/>
        <family val="0"/>
        <charset val="1"/>
      </rPr>
      <t xml:space="preserve">21%</t>
    </r>
    <r>
      <rPr>
        <sz val="10"/>
        <rFont val="WenQuanYi Zen Hei"/>
        <family val="2"/>
      </rPr>
      <t xml:space="preserve">（</t>
    </r>
    <r>
      <rPr>
        <sz val="10"/>
        <rFont val="Meiryo UI"/>
        <family val="0"/>
        <charset val="1"/>
      </rPr>
      <t xml:space="preserve">14</t>
    </r>
    <r>
      <rPr>
        <sz val="10"/>
        <rFont val="WenQuanYi Zen Hei"/>
        <family val="2"/>
      </rPr>
      <t xml:space="preserve">＋</t>
    </r>
    <r>
      <rPr>
        <sz val="10"/>
        <rFont val="Meiryo UI"/>
        <family val="0"/>
        <charset val="1"/>
      </rPr>
      <t xml:space="preserve">7</t>
    </r>
    <r>
      <rPr>
        <sz val="10"/>
        <rFont val="WenQuanYi Zen Hei"/>
        <family val="2"/>
      </rPr>
      <t xml:space="preserve">＝</t>
    </r>
    <r>
      <rPr>
        <sz val="10"/>
        <rFont val="Meiryo UI"/>
        <family val="0"/>
        <charset val="1"/>
      </rPr>
      <t xml:space="preserve">21</t>
    </r>
    <r>
      <rPr>
        <sz val="10"/>
        <rFont val="WenQuanYi Zen Hei"/>
        <family val="2"/>
      </rPr>
      <t xml:space="preserve">件／</t>
    </r>
    <r>
      <rPr>
        <sz val="10"/>
        <rFont val="Meiryo UI"/>
        <family val="0"/>
        <charset val="1"/>
      </rPr>
      <t xml:space="preserve">100</t>
    </r>
    <r>
      <rPr>
        <sz val="10"/>
        <rFont val="WenQuanYi Zen Hei"/>
        <family val="2"/>
      </rPr>
      <t xml:space="preserve">件）</t>
    </r>
  </si>
  <si>
    <r>
      <rPr>
        <sz val="10"/>
        <rFont val="WenQuanYi Zen Hei"/>
        <family val="2"/>
      </rPr>
      <t xml:space="preserve">【計算】</t>
    </r>
    <r>
      <rPr>
        <sz val="10"/>
        <rFont val="Noto Sans CJK SC"/>
        <family val="2"/>
        <charset val="1"/>
      </rPr>
      <t xml:space="preserve">P3 </t>
    </r>
    <r>
      <rPr>
        <sz val="10"/>
        <rFont val="WenQuanYi Zen Hei"/>
        <family val="2"/>
      </rPr>
      <t xml:space="preserve">棒グラフ</t>
    </r>
  </si>
  <si>
    <r>
      <rPr>
        <sz val="10"/>
        <rFont val="Meiryo UI"/>
        <family val="0"/>
        <charset val="1"/>
      </rPr>
      <t xml:space="preserve">21%</t>
    </r>
    <r>
      <rPr>
        <sz val="10"/>
        <rFont val="WenQuanYi Zen Hei"/>
        <family val="2"/>
      </rPr>
      <t xml:space="preserve">（</t>
    </r>
    <r>
      <rPr>
        <sz val="10"/>
        <rFont val="Meiryo UI"/>
        <family val="0"/>
        <charset val="1"/>
      </rPr>
      <t xml:space="preserve">14</t>
    </r>
    <r>
      <rPr>
        <sz val="10"/>
        <rFont val="WenQuanYi Zen Hei"/>
        <family val="2"/>
      </rPr>
      <t xml:space="preserve">＋</t>
    </r>
    <r>
      <rPr>
        <sz val="10"/>
        <rFont val="Meiryo UI"/>
        <family val="0"/>
        <charset val="1"/>
      </rPr>
      <t xml:space="preserve">7</t>
    </r>
    <r>
      <rPr>
        <sz val="10"/>
        <rFont val="WenQuanYi Zen Hei"/>
        <family val="2"/>
      </rPr>
      <t xml:space="preserve">＝</t>
    </r>
    <r>
      <rPr>
        <sz val="10"/>
        <rFont val="Meiryo UI"/>
        <family val="0"/>
        <charset val="1"/>
      </rPr>
      <t xml:space="preserve">21</t>
    </r>
    <r>
      <rPr>
        <sz val="10"/>
        <rFont val="WenQuanYi Zen Hei"/>
        <family val="2"/>
      </rPr>
      <t xml:space="preserve">／</t>
    </r>
    <r>
      <rPr>
        <sz val="10"/>
        <rFont val="Meiryo UI"/>
        <family val="0"/>
        <charset val="1"/>
      </rPr>
      <t xml:space="preserve">100</t>
    </r>
    <r>
      <rPr>
        <sz val="10"/>
        <rFont val="WenQuanYi Zen Hei"/>
        <family val="2"/>
      </rPr>
      <t xml:space="preserve">）</t>
    </r>
  </si>
  <si>
    <r>
      <rPr>
        <sz val="11"/>
        <color theme="1"/>
        <rFont val="Calibri"/>
        <family val="2"/>
        <charset val="1"/>
      </rPr>
      <t xml:space="preserve">21</t>
    </r>
    <r>
      <rPr>
        <sz val="11"/>
        <color theme="1"/>
        <rFont val="WenQuanYi Zen Hei"/>
        <family val="2"/>
      </rPr>
      <t xml:space="preserve">％です。
スライド</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10</t>
    </r>
    <r>
      <rPr>
        <sz val="11"/>
        <color theme="1"/>
        <rFont val="WenQuanYi Zen Hei"/>
        <family val="2"/>
      </rPr>
      <t xml:space="preserve">月の不具合内訳）によると、『タレ』は</t>
    </r>
    <r>
      <rPr>
        <sz val="11"/>
        <color theme="1"/>
        <rFont val="Calibri"/>
        <family val="2"/>
        <charset val="1"/>
      </rPr>
      <t xml:space="preserve">14</t>
    </r>
    <r>
      <rPr>
        <sz val="11"/>
        <color theme="1"/>
        <rFont val="WenQuanYi Zen Hei"/>
        <family val="2"/>
      </rPr>
      <t xml:space="preserve">件、『色ムラ』は</t>
    </r>
    <r>
      <rPr>
        <sz val="11"/>
        <color theme="1"/>
        <rFont val="Calibri"/>
        <family val="2"/>
        <charset val="1"/>
      </rPr>
      <t xml:space="preserve">7</t>
    </r>
    <r>
      <rPr>
        <sz val="11"/>
        <color theme="1"/>
        <rFont val="WenQuanYi Zen Hei"/>
        <family val="2"/>
      </rPr>
      <t xml:space="preserve">件で、合計</t>
    </r>
    <r>
      <rPr>
        <sz val="11"/>
        <color theme="1"/>
        <rFont val="Calibri"/>
        <family val="2"/>
        <charset val="1"/>
      </rPr>
      <t xml:space="preserve">21</t>
    </r>
    <r>
      <rPr>
        <sz val="11"/>
        <color theme="1"/>
        <rFont val="WenQuanYi Zen Hei"/>
        <family val="2"/>
      </rPr>
      <t xml:space="preserve">件です。不具合の総数は</t>
    </r>
    <r>
      <rPr>
        <sz val="11"/>
        <color theme="1"/>
        <rFont val="Calibri"/>
        <family val="2"/>
        <charset val="1"/>
      </rPr>
      <t xml:space="preserve">100</t>
    </r>
    <r>
      <rPr>
        <sz val="11"/>
        <color theme="1"/>
        <rFont val="WenQuanYi Zen Hei"/>
        <family val="2"/>
      </rPr>
      <t xml:space="preserve">件なので、</t>
    </r>
    <r>
      <rPr>
        <sz val="11"/>
        <color theme="1"/>
        <rFont val="Calibri"/>
        <family val="2"/>
        <charset val="1"/>
      </rPr>
      <t xml:space="preserve">21 ÷ 100 = 21</t>
    </r>
    <r>
      <rPr>
        <sz val="11"/>
        <color theme="1"/>
        <rFont val="WenQuanYi Zen Hei"/>
        <family val="2"/>
      </rPr>
      <t xml:space="preserve">％になります。
（参考：累積比率で見ても、タレまでの</t>
    </r>
    <r>
      <rPr>
        <sz val="11"/>
        <color theme="1"/>
        <rFont val="Calibri"/>
        <family val="2"/>
        <charset val="1"/>
      </rPr>
      <t xml:space="preserve">89</t>
    </r>
    <r>
      <rPr>
        <sz val="11"/>
        <color theme="1"/>
        <rFont val="WenQuanYi Zen Hei"/>
        <family val="2"/>
      </rPr>
      <t xml:space="preserve">％から異物付着までの</t>
    </r>
    <r>
      <rPr>
        <sz val="11"/>
        <color theme="1"/>
        <rFont val="Calibri"/>
        <family val="2"/>
        <charset val="1"/>
      </rPr>
      <t xml:space="preserve">75</t>
    </r>
    <r>
      <rPr>
        <sz val="11"/>
        <color theme="1"/>
        <rFont val="WenQuanYi Zen Hei"/>
        <family val="2"/>
      </rPr>
      <t xml:space="preserve">％を引くと</t>
    </r>
    <r>
      <rPr>
        <sz val="11"/>
        <color theme="1"/>
        <rFont val="Calibri"/>
        <family val="2"/>
        <charset val="1"/>
      </rPr>
      <t xml:space="preserve">14</t>
    </r>
    <r>
      <rPr>
        <sz val="11"/>
        <color theme="1"/>
        <rFont val="WenQuanYi Zen Hei"/>
        <family val="2"/>
      </rPr>
      <t xml:space="preserve">％、色ムラまでの</t>
    </r>
    <r>
      <rPr>
        <sz val="11"/>
        <color theme="1"/>
        <rFont val="Calibri"/>
        <family val="2"/>
        <charset val="1"/>
      </rPr>
      <t xml:space="preserve">96</t>
    </r>
    <r>
      <rPr>
        <sz val="11"/>
        <color theme="1"/>
        <rFont val="WenQuanYi Zen Hei"/>
        <family val="2"/>
      </rPr>
      <t xml:space="preserve">％からタレまでの</t>
    </r>
    <r>
      <rPr>
        <sz val="11"/>
        <color theme="1"/>
        <rFont val="Calibri"/>
        <family val="2"/>
        <charset val="1"/>
      </rPr>
      <t xml:space="preserve">89</t>
    </r>
    <r>
      <rPr>
        <sz val="11"/>
        <color theme="1"/>
        <rFont val="WenQuanYi Zen Hei"/>
        <family val="2"/>
      </rPr>
      <t xml:space="preserve">％を引くと</t>
    </r>
    <r>
      <rPr>
        <sz val="11"/>
        <color theme="1"/>
        <rFont val="Calibri"/>
        <family val="2"/>
        <charset val="1"/>
      </rPr>
      <t xml:space="preserve">7</t>
    </r>
    <r>
      <rPr>
        <sz val="11"/>
        <color theme="1"/>
        <rFont val="WenQuanYi Zen Hei"/>
        <family val="2"/>
      </rPr>
      <t xml:space="preserve">％で、足すと</t>
    </r>
    <r>
      <rPr>
        <sz val="11"/>
        <color theme="1"/>
        <rFont val="Calibri"/>
        <family val="2"/>
        <charset val="1"/>
      </rPr>
      <t xml:space="preserve">21</t>
    </r>
    <r>
      <rPr>
        <sz val="11"/>
        <color theme="1"/>
        <rFont val="WenQuanYi Zen Hei"/>
        <family val="2"/>
      </rPr>
      <t xml:space="preserve">％です。）
※対策後（</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13</t>
    </r>
    <r>
      <rPr>
        <sz val="11"/>
        <color theme="1"/>
        <rFont val="WenQuanYi Zen Hei"/>
        <family val="2"/>
      </rPr>
      <t xml:space="preserve">日〜</t>
    </r>
    <r>
      <rPr>
        <sz val="11"/>
        <color theme="1"/>
        <rFont val="Calibri"/>
        <family val="2"/>
        <charset val="1"/>
      </rPr>
      <t xml:space="preserve">17</t>
    </r>
    <r>
      <rPr>
        <sz val="11"/>
        <color theme="1"/>
        <rFont val="WenQuanYi Zen Hei"/>
        <family val="2"/>
      </rPr>
      <t xml:space="preserve">日、スライド</t>
    </r>
    <r>
      <rPr>
        <sz val="11"/>
        <color theme="1"/>
        <rFont val="Calibri"/>
        <family val="2"/>
        <charset val="1"/>
      </rPr>
      <t xml:space="preserve">9</t>
    </r>
    <r>
      <rPr>
        <sz val="11"/>
        <color theme="1"/>
        <rFont val="WenQuanYi Zen Hei"/>
        <family val="2"/>
      </rPr>
      <t xml:space="preserve">）の内訳には『色ムラ』の項目がありません。その期間で数えると、タレ</t>
    </r>
    <r>
      <rPr>
        <sz val="11"/>
        <color theme="1"/>
        <rFont val="Calibri"/>
        <family val="2"/>
        <charset val="1"/>
      </rPr>
      <t xml:space="preserve">2</t>
    </r>
    <r>
      <rPr>
        <sz val="11"/>
        <color theme="1"/>
        <rFont val="WenQuanYi Zen Hei"/>
        <family val="2"/>
      </rPr>
      <t xml:space="preserve">件のみで</t>
    </r>
    <r>
      <rPr>
        <sz val="11"/>
        <color theme="1"/>
        <rFont val="Calibri"/>
        <family val="2"/>
        <charset val="1"/>
      </rPr>
      <t xml:space="preserve">10</t>
    </r>
    <r>
      <rPr>
        <sz val="11"/>
        <color theme="1"/>
        <rFont val="WenQuanYi Zen Hei"/>
        <family val="2"/>
      </rPr>
      <t xml:space="preserve">件中</t>
    </r>
    <r>
      <rPr>
        <sz val="11"/>
        <color theme="1"/>
        <rFont val="Calibri"/>
        <family val="2"/>
        <charset val="1"/>
      </rPr>
      <t xml:space="preserve">20</t>
    </r>
    <r>
      <rPr>
        <sz val="11"/>
        <color theme="1"/>
        <rFont val="WenQuanYi Zen Hei"/>
        <family val="2"/>
      </rPr>
      <t xml:space="preserve">％になります。</t>
    </r>
  </si>
  <si>
    <t xml:space="preserve">07-05</t>
  </si>
  <si>
    <t xml:space="preserve">特性要因図で『材料』に分類されている要因は何ですか？</t>
  </si>
  <si>
    <t xml:space="preserve">塗料粘度のばらつき</t>
  </si>
  <si>
    <r>
      <rPr>
        <sz val="10"/>
        <rFont val="WenQuanYi Zen Hei"/>
        <family val="2"/>
      </rPr>
      <t xml:space="preserve">【図解（特性要因図）】</t>
    </r>
    <r>
      <rPr>
        <sz val="10"/>
        <rFont val="Noto Sans CJK SC"/>
        <family val="2"/>
        <charset val="1"/>
      </rPr>
      <t xml:space="preserve">P4 </t>
    </r>
    <r>
      <rPr>
        <sz val="10"/>
        <rFont val="WenQuanYi Zen Hei"/>
        <family val="2"/>
      </rPr>
      <t xml:space="preserve">骨の位置と分類ラベル</t>
    </r>
  </si>
  <si>
    <r>
      <rPr>
        <sz val="11"/>
        <color theme="1"/>
        <rFont val="WenQuanYi Zen Hei"/>
        <family val="2"/>
      </rPr>
      <t xml:space="preserve">特性要因図（スライド</t>
    </r>
    <r>
      <rPr>
        <sz val="11"/>
        <color theme="1"/>
        <rFont val="Calibri"/>
        <family val="2"/>
        <charset val="1"/>
      </rPr>
      <t xml:space="preserve">4</t>
    </r>
    <r>
      <rPr>
        <sz val="11"/>
        <color theme="1"/>
        <rFont val="WenQuanYi Zen Hei"/>
        <family val="2"/>
      </rPr>
      <t xml:space="preserve">、特性＝膜厚不足）で「材料」に分類されている要因は「塗料粘度のばらつき」です（材料の枝にはこの</t>
    </r>
    <r>
      <rPr>
        <sz val="11"/>
        <color theme="1"/>
        <rFont val="Calibri"/>
        <family val="2"/>
        <charset val="1"/>
      </rPr>
      <t xml:space="preserve">1</t>
    </r>
    <r>
      <rPr>
        <sz val="11"/>
        <color theme="1"/>
        <rFont val="WenQuanYi Zen Hei"/>
        <family val="2"/>
      </rPr>
      <t xml:space="preserve">項目のみ）。</t>
    </r>
  </si>
  <si>
    <t xml:space="preserve">07-06</t>
  </si>
  <si>
    <t xml:space="preserve">真因として赤丸で囲まれている要因と、その分類を答えてください。</t>
  </si>
  <si>
    <t xml:space="preserve">スプレーガンのノズル摩耗（機械）</t>
  </si>
  <si>
    <r>
      <rPr>
        <sz val="10"/>
        <rFont val="WenQuanYi Zen Hei"/>
        <family val="2"/>
      </rPr>
      <t xml:space="preserve">【図形による強調】</t>
    </r>
    <r>
      <rPr>
        <sz val="10"/>
        <rFont val="Noto Sans CJK SC"/>
        <family val="2"/>
        <charset val="1"/>
      </rPr>
      <t xml:space="preserve">P4 </t>
    </r>
    <r>
      <rPr>
        <sz val="10"/>
        <rFont val="WenQuanYi Zen Hei"/>
        <family val="2"/>
      </rPr>
      <t xml:space="preserve">楕円の囲み＋注記</t>
    </r>
  </si>
  <si>
    <r>
      <rPr>
        <sz val="11"/>
        <color theme="1"/>
        <rFont val="WenQuanYi Zen Hei"/>
        <family val="2"/>
      </rPr>
      <t xml:space="preserve">真因として赤丸で囲まれている要因は「スプレーガンのノズル摩耗」で、分類は</t>
    </r>
    <r>
      <rPr>
        <sz val="11"/>
        <color theme="1"/>
        <rFont val="Calibri"/>
        <family val="2"/>
        <charset val="1"/>
      </rPr>
      <t xml:space="preserve">4M</t>
    </r>
    <r>
      <rPr>
        <sz val="11"/>
        <color theme="1"/>
        <rFont val="WenQuanYi Zen Hei"/>
        <family val="2"/>
      </rPr>
      <t xml:space="preserve">（人・機械・材料・方法）のうち「機械」です（スライド</t>
    </r>
    <r>
      <rPr>
        <sz val="11"/>
        <color theme="1"/>
        <rFont val="Calibri"/>
        <family val="2"/>
        <charset val="1"/>
      </rPr>
      <t xml:space="preserve">4</t>
    </r>
    <r>
      <rPr>
        <sz val="11"/>
        <color theme="1"/>
        <rFont val="WenQuanYi Zen Hei"/>
        <family val="2"/>
      </rPr>
      <t xml:space="preserve">の特性要因図）。図中で赤丸が付いているのはこの要因のみです。</t>
    </r>
  </si>
  <si>
    <t xml:space="preserve">07-07</t>
  </si>
  <si>
    <t xml:space="preserve">膜厚が管理限界を外れた日と、その値を答えてください。</t>
  </si>
  <si>
    <r>
      <rPr>
        <sz val="10"/>
        <rFont val="Meiryo UI"/>
        <family val="0"/>
        <charset val="1"/>
      </rPr>
      <t xml:space="preserve">9</t>
    </r>
    <r>
      <rPr>
        <sz val="10"/>
        <rFont val="WenQuanYi Zen Hei"/>
        <family val="2"/>
      </rPr>
      <t xml:space="preserve">日、</t>
    </r>
    <r>
      <rPr>
        <sz val="10"/>
        <rFont val="Meiryo UI"/>
        <family val="0"/>
        <charset val="1"/>
      </rPr>
      <t xml:space="preserve">43μm</t>
    </r>
    <r>
      <rPr>
        <sz val="10"/>
        <rFont val="WenQuanYi Zen Hei"/>
        <family val="2"/>
      </rPr>
      <t xml:space="preserve">（下方管理限界</t>
    </r>
    <r>
      <rPr>
        <sz val="10"/>
        <rFont val="Meiryo UI"/>
        <family val="0"/>
        <charset val="1"/>
      </rPr>
      <t xml:space="preserve">44μm</t>
    </r>
    <r>
      <rPr>
        <sz val="10"/>
        <rFont val="WenQuanYi Zen Hei"/>
        <family val="2"/>
      </rPr>
      <t xml:space="preserve">を下回った）</t>
    </r>
  </si>
  <si>
    <r>
      <rPr>
        <sz val="10"/>
        <rFont val="WenQuanYi Zen Hei"/>
        <family val="2"/>
      </rPr>
      <t xml:space="preserve">【管理図】</t>
    </r>
    <r>
      <rPr>
        <sz val="10"/>
        <rFont val="Noto Sans CJK SC"/>
        <family val="2"/>
        <charset val="1"/>
      </rPr>
      <t xml:space="preserve">P5 </t>
    </r>
    <r>
      <rPr>
        <sz val="10"/>
        <rFont val="WenQuanYi Zen Hei"/>
        <family val="2"/>
      </rPr>
      <t xml:space="preserve">折れ線（数値ラベルなし）</t>
    </r>
  </si>
  <si>
    <r>
      <rPr>
        <sz val="10"/>
        <rFont val="Meiryo UI"/>
        <family val="0"/>
        <charset val="1"/>
      </rPr>
      <t xml:space="preserve">11</t>
    </r>
    <r>
      <rPr>
        <sz val="10"/>
        <rFont val="WenQuanYi Zen Hei"/>
        <family val="2"/>
      </rPr>
      <t xml:space="preserve">月</t>
    </r>
    <r>
      <rPr>
        <sz val="10"/>
        <rFont val="Meiryo UI"/>
        <family val="0"/>
        <charset val="1"/>
      </rPr>
      <t xml:space="preserve">9</t>
    </r>
    <r>
      <rPr>
        <sz val="10"/>
        <rFont val="WenQuanYi Zen Hei"/>
        <family val="2"/>
      </rPr>
      <t xml:space="preserve">日、</t>
    </r>
    <r>
      <rPr>
        <sz val="10"/>
        <rFont val="Meiryo UI"/>
        <family val="0"/>
        <charset val="1"/>
      </rPr>
      <t xml:space="preserve">43μm</t>
    </r>
    <r>
      <rPr>
        <sz val="10"/>
        <rFont val="WenQuanYi Zen Hei"/>
        <family val="2"/>
      </rPr>
      <t xml:space="preserve">（</t>
    </r>
    <r>
      <rPr>
        <sz val="10"/>
        <rFont val="Meiryo UI"/>
        <family val="0"/>
        <charset val="1"/>
      </rPr>
      <t xml:space="preserve">LCL44μm</t>
    </r>
    <r>
      <rPr>
        <sz val="10"/>
        <rFont val="WenQuanYi Zen Hei"/>
        <family val="2"/>
      </rPr>
      <t xml:space="preserve">割れ）</t>
    </r>
  </si>
  <si>
    <r>
      <rPr>
        <sz val="11"/>
        <color theme="1"/>
        <rFont val="WenQuanYi Zen Hei"/>
        <family val="2"/>
      </rPr>
      <t xml:space="preserve">膜厚が管理限界を外れたのは </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9</t>
    </r>
    <r>
      <rPr>
        <sz val="11"/>
        <color theme="1"/>
        <rFont val="WenQuanYi Zen Hei"/>
        <family val="2"/>
      </rPr>
      <t xml:space="preserve">日</t>
    </r>
    <r>
      <rPr>
        <sz val="11"/>
        <color theme="1"/>
        <rFont val="Calibri"/>
        <family val="2"/>
        <charset val="1"/>
      </rPr>
      <t xml:space="preserve">** </t>
    </r>
    <r>
      <rPr>
        <sz val="11"/>
        <color theme="1"/>
        <rFont val="WenQuanYi Zen Hei"/>
        <family val="2"/>
      </rPr>
      <t xml:space="preserve">で、その値は </t>
    </r>
    <r>
      <rPr>
        <sz val="11"/>
        <color theme="1"/>
        <rFont val="Calibri"/>
        <family val="2"/>
        <charset val="1"/>
      </rPr>
      <t xml:space="preserve">**43μm** </t>
    </r>
    <r>
      <rPr>
        <sz val="11"/>
        <color theme="1"/>
        <rFont val="WenQuanYi Zen Hei"/>
        <family val="2"/>
      </rPr>
      <t xml:space="preserve">です（下方管理限界 </t>
    </r>
    <r>
      <rPr>
        <sz val="11"/>
        <color theme="1"/>
        <rFont val="Calibri"/>
        <family val="2"/>
        <charset val="1"/>
      </rPr>
      <t xml:space="preserve">LCL 44μm </t>
    </r>
    <r>
      <rPr>
        <sz val="11"/>
        <color theme="1"/>
        <rFont val="WenQuanYi Zen Hei"/>
        <family val="2"/>
      </rPr>
      <t xml:space="preserve">を下回りました）。</t>
    </r>
  </si>
  <si>
    <t xml:space="preserve">07-08</t>
  </si>
  <si>
    <t xml:space="preserve">上方管理限界と下方管理限界の値をそれぞれ答えてください。</t>
  </si>
  <si>
    <r>
      <rPr>
        <sz val="10"/>
        <rFont val="Meiryo UI"/>
        <family val="0"/>
        <charset val="1"/>
      </rPr>
      <t xml:space="preserve">UCL 56μm</t>
    </r>
    <r>
      <rPr>
        <sz val="10"/>
        <rFont val="WenQuanYi Zen Hei"/>
        <family val="2"/>
      </rPr>
      <t xml:space="preserve">、</t>
    </r>
    <r>
      <rPr>
        <sz val="10"/>
        <rFont val="Meiryo UI"/>
        <family val="0"/>
        <charset val="1"/>
      </rPr>
      <t xml:space="preserve">LCL 44μm</t>
    </r>
  </si>
  <si>
    <r>
      <rPr>
        <sz val="10"/>
        <rFont val="WenQuanYi Zen Hei"/>
        <family val="2"/>
      </rPr>
      <t xml:space="preserve">【管理図】</t>
    </r>
    <r>
      <rPr>
        <sz val="10"/>
        <rFont val="Noto Sans CJK SC"/>
        <family val="2"/>
        <charset val="1"/>
      </rPr>
      <t xml:space="preserve">P5 </t>
    </r>
    <r>
      <rPr>
        <sz val="10"/>
        <rFont val="WenQuanYi Zen Hei"/>
        <family val="2"/>
      </rPr>
      <t xml:space="preserve">グラフの系列データ</t>
    </r>
  </si>
  <si>
    <r>
      <rPr>
        <sz val="11"/>
        <color theme="1"/>
        <rFont val="WenQuanYi Zen Hei"/>
        <family val="2"/>
      </rPr>
      <t xml:space="preserve">スライド</t>
    </r>
    <r>
      <rPr>
        <sz val="11"/>
        <color theme="1"/>
        <rFont val="Calibri"/>
        <family val="2"/>
        <charset val="1"/>
      </rPr>
      <t xml:space="preserve">5</t>
    </r>
    <r>
      <rPr>
        <sz val="11"/>
        <color theme="1"/>
        <rFont val="WenQuanYi Zen Hei"/>
        <family val="2"/>
      </rPr>
      <t xml:space="preserve">「膜厚の管理図（</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t>
    </r>
    <r>
      <rPr>
        <sz val="11"/>
        <color theme="1"/>
        <rFont val="Calibri"/>
        <family val="2"/>
        <charset val="1"/>
      </rPr>
      <t xml:space="preserve">12</t>
    </r>
    <r>
      <rPr>
        <sz val="11"/>
        <color theme="1"/>
        <rFont val="WenQuanYi Zen Hei"/>
        <family val="2"/>
      </rPr>
      <t xml:space="preserve">日）」によると、
</t>
    </r>
    <r>
      <rPr>
        <sz val="11"/>
        <color theme="1"/>
        <rFont val="Calibri"/>
        <family val="2"/>
        <charset val="1"/>
      </rPr>
      <t xml:space="preserve">- </t>
    </r>
    <r>
      <rPr>
        <sz val="11"/>
        <color theme="1"/>
        <rFont val="WenQuanYi Zen Hei"/>
        <family val="2"/>
      </rPr>
      <t xml:space="preserve">上方管理限界（</t>
    </r>
    <r>
      <rPr>
        <sz val="11"/>
        <color theme="1"/>
        <rFont val="Calibri"/>
        <family val="2"/>
        <charset val="1"/>
      </rPr>
      <t xml:space="preserve">UCL</t>
    </r>
    <r>
      <rPr>
        <sz val="11"/>
        <color theme="1"/>
        <rFont val="WenQuanYi Zen Hei"/>
        <family val="2"/>
      </rPr>
      <t xml:space="preserve">）：</t>
    </r>
    <r>
      <rPr>
        <sz val="11"/>
        <color theme="1"/>
        <rFont val="Calibri"/>
        <family val="2"/>
        <charset val="1"/>
      </rPr>
      <t xml:space="preserve">56μm
- </t>
    </r>
    <r>
      <rPr>
        <sz val="11"/>
        <color theme="1"/>
        <rFont val="WenQuanYi Zen Hei"/>
        <family val="2"/>
      </rPr>
      <t xml:space="preserve">下方管理限界（</t>
    </r>
    <r>
      <rPr>
        <sz val="11"/>
        <color theme="1"/>
        <rFont val="Calibri"/>
        <family val="2"/>
        <charset val="1"/>
      </rPr>
      <t xml:space="preserve">LCL</t>
    </r>
    <r>
      <rPr>
        <sz val="11"/>
        <color theme="1"/>
        <rFont val="WenQuanYi Zen Hei"/>
        <family val="2"/>
      </rPr>
      <t xml:space="preserve">）：</t>
    </r>
    <r>
      <rPr>
        <sz val="11"/>
        <color theme="1"/>
        <rFont val="Calibri"/>
        <family val="2"/>
        <charset val="1"/>
      </rPr>
      <t xml:space="preserve">44μm
</t>
    </r>
    <r>
      <rPr>
        <sz val="11"/>
        <color theme="1"/>
        <rFont val="WenQuanYi Zen Hei"/>
        <family val="2"/>
      </rPr>
      <t xml:space="preserve">（中心線</t>
    </r>
    <r>
      <rPr>
        <sz val="11"/>
        <color theme="1"/>
        <rFont val="Calibri"/>
        <family val="2"/>
        <charset val="1"/>
      </rPr>
      <t xml:space="preserve">CL</t>
    </r>
    <r>
      <rPr>
        <sz val="11"/>
        <color theme="1"/>
        <rFont val="WenQuanYi Zen Hei"/>
        <family val="2"/>
      </rPr>
      <t xml:space="preserve">は</t>
    </r>
    <r>
      <rPr>
        <sz val="11"/>
        <color theme="1"/>
        <rFont val="Calibri"/>
        <family val="2"/>
        <charset val="1"/>
      </rPr>
      <t xml:space="preserve">50μm</t>
    </r>
    <r>
      <rPr>
        <sz val="11"/>
        <color theme="1"/>
        <rFont val="WenQuanYi Zen Hei"/>
        <family val="2"/>
      </rPr>
      <t xml:space="preserve">。管理限界は過去</t>
    </r>
    <r>
      <rPr>
        <sz val="11"/>
        <color theme="1"/>
        <rFont val="Calibri"/>
        <family val="2"/>
        <charset val="1"/>
      </rPr>
      <t xml:space="preserve">3</t>
    </r>
    <r>
      <rPr>
        <sz val="11"/>
        <color theme="1"/>
        <rFont val="WenQuanYi Zen Hei"/>
        <family val="2"/>
      </rPr>
      <t xml:space="preserve">か月のデータから算出されています。）</t>
    </r>
  </si>
  <si>
    <t xml:space="preserve">07-09</t>
  </si>
  <si>
    <r>
      <rPr>
        <sz val="10"/>
        <rFont val="WenQuanYi Zen Hei"/>
        <family val="2"/>
      </rPr>
      <t xml:space="preserve">点検記録表で判定が『</t>
    </r>
    <r>
      <rPr>
        <sz val="10"/>
        <rFont val="Noto Sans CJK SC"/>
        <family val="2"/>
        <charset val="1"/>
      </rPr>
      <t xml:space="preserve">×</t>
    </r>
    <r>
      <rPr>
        <sz val="10"/>
        <rFont val="WenQuanYi Zen Hei"/>
        <family val="2"/>
      </rPr>
      <t xml:space="preserve">』になっている項目をすべて答えてください。</t>
    </r>
  </si>
  <si>
    <t xml:space="preserve">ノズル径、塗料粘度</t>
  </si>
  <si>
    <r>
      <rPr>
        <sz val="10"/>
        <rFont val="WenQuanYi Zen Hei"/>
        <family val="2"/>
      </rPr>
      <t xml:space="preserve">【画像（スキャン文書）】</t>
    </r>
    <r>
      <rPr>
        <sz val="10"/>
        <rFont val="Noto Sans CJK SC"/>
        <family val="2"/>
        <charset val="1"/>
      </rPr>
      <t xml:space="preserve">P6 </t>
    </r>
    <r>
      <rPr>
        <sz val="10"/>
        <rFont val="WenQuanYi Zen Hei"/>
        <family val="2"/>
      </rPr>
      <t xml:space="preserve">傾いたスキャン画像</t>
    </r>
  </si>
  <si>
    <r>
      <rPr>
        <sz val="11"/>
        <color theme="1"/>
        <rFont val="WenQuanYi Zen Hei"/>
        <family val="2"/>
      </rPr>
      <t xml:space="preserve">点検記録表（</t>
    </r>
    <r>
      <rPr>
        <sz val="11"/>
        <color theme="1"/>
        <rFont val="Calibri"/>
        <family val="2"/>
        <charset val="1"/>
      </rPr>
      <t xml:space="preserve">11/12</t>
    </r>
    <r>
      <rPr>
        <sz val="11"/>
        <color theme="1"/>
        <rFont val="WenQuanYi Zen Hei"/>
        <family val="2"/>
      </rPr>
      <t xml:space="preserve">、第</t>
    </r>
    <r>
      <rPr>
        <sz val="11"/>
        <color theme="1"/>
        <rFont val="Calibri"/>
        <family val="2"/>
        <charset val="1"/>
      </rPr>
      <t xml:space="preserve">2</t>
    </r>
    <r>
      <rPr>
        <sz val="11"/>
        <color theme="1"/>
        <rFont val="WenQuanYi Zen Hei"/>
        <family val="2"/>
      </rPr>
      <t xml:space="preserve">工場 </t>
    </r>
    <r>
      <rPr>
        <sz val="11"/>
        <color theme="1"/>
        <rFont val="Calibri"/>
        <family val="2"/>
        <charset val="1"/>
      </rPr>
      <t xml:space="preserve">C</t>
    </r>
    <r>
      <rPr>
        <sz val="11"/>
        <color theme="1"/>
        <rFont val="WenQuanYi Zen Hei"/>
        <family val="2"/>
      </rPr>
      <t xml:space="preserve">ライン）で判定が「</t>
    </r>
    <r>
      <rPr>
        <sz val="11"/>
        <color theme="1"/>
        <rFont val="Calibri"/>
        <family val="2"/>
        <charset val="1"/>
      </rPr>
      <t xml:space="preserve">×</t>
    </r>
    <r>
      <rPr>
        <sz val="11"/>
        <color theme="1"/>
        <rFont val="WenQuanYi Zen Hei"/>
        <family val="2"/>
      </rPr>
      <t xml:space="preserve">」になっている項目は次の</t>
    </r>
    <r>
      <rPr>
        <sz val="11"/>
        <color theme="1"/>
        <rFont val="Calibri"/>
        <family val="2"/>
        <charset val="1"/>
      </rPr>
      <t xml:space="preserve">2</t>
    </r>
    <r>
      <rPr>
        <sz val="11"/>
        <color theme="1"/>
        <rFont val="WenQuanYi Zen Hei"/>
        <family val="2"/>
      </rPr>
      <t xml:space="preserve">つです。
</t>
    </r>
    <r>
      <rPr>
        <sz val="11"/>
        <color theme="1"/>
        <rFont val="Calibri"/>
        <family val="2"/>
        <charset val="1"/>
      </rPr>
      <t xml:space="preserve">1. </t>
    </r>
    <r>
      <rPr>
        <sz val="11"/>
        <color theme="1"/>
        <rFont val="WenQuanYi Zen Hei"/>
        <family val="2"/>
      </rPr>
      <t xml:space="preserve">ノズル径（基準 </t>
    </r>
    <r>
      <rPr>
        <sz val="11"/>
        <color theme="1"/>
        <rFont val="Calibri"/>
        <family val="2"/>
        <charset val="1"/>
      </rPr>
      <t xml:space="preserve">1.30±0.05mm </t>
    </r>
    <r>
      <rPr>
        <sz val="11"/>
        <color theme="1"/>
        <rFont val="WenQuanYi Zen Hei"/>
        <family val="2"/>
      </rPr>
      <t xml:space="preserve">に対し実測 </t>
    </r>
    <r>
      <rPr>
        <sz val="11"/>
        <color theme="1"/>
        <rFont val="Calibri"/>
        <family val="2"/>
        <charset val="1"/>
      </rPr>
      <t xml:space="preserve">1.52mm</t>
    </r>
    <r>
      <rPr>
        <sz val="11"/>
        <color theme="1"/>
        <rFont val="WenQuanYi Zen Hei"/>
        <family val="2"/>
      </rPr>
      <t xml:space="preserve">）
</t>
    </r>
    <r>
      <rPr>
        <sz val="11"/>
        <color theme="1"/>
        <rFont val="Calibri"/>
        <family val="2"/>
        <charset val="1"/>
      </rPr>
      <t xml:space="preserve">2. </t>
    </r>
    <r>
      <rPr>
        <sz val="11"/>
        <color theme="1"/>
        <rFont val="WenQuanYi Zen Hei"/>
        <family val="2"/>
      </rPr>
      <t xml:space="preserve">塗料粘度（基準 </t>
    </r>
    <r>
      <rPr>
        <sz val="11"/>
        <color theme="1"/>
        <rFont val="Calibri"/>
        <family val="2"/>
        <charset val="1"/>
      </rPr>
      <t xml:space="preserve">18±2</t>
    </r>
    <r>
      <rPr>
        <sz val="11"/>
        <color theme="1"/>
        <rFont val="WenQuanYi Zen Hei"/>
        <family val="2"/>
      </rPr>
      <t xml:space="preserve">秒 に対し実測 </t>
    </r>
    <r>
      <rPr>
        <sz val="11"/>
        <color theme="1"/>
        <rFont val="Calibri"/>
        <family val="2"/>
        <charset val="1"/>
      </rPr>
      <t xml:space="preserve">21</t>
    </r>
    <r>
      <rPr>
        <sz val="11"/>
        <color theme="1"/>
        <rFont val="WenQuanYi Zen Hei"/>
        <family val="2"/>
      </rPr>
      <t xml:space="preserve">秒）</t>
    </r>
  </si>
  <si>
    <t xml:space="preserve">07-10</t>
  </si>
  <si>
    <t xml:space="preserve">ノズル径の実測値と基準値を答えてください。</t>
  </si>
  <si>
    <r>
      <rPr>
        <sz val="10"/>
        <rFont val="WenQuanYi Zen Hei"/>
        <family val="2"/>
      </rPr>
      <t xml:space="preserve">実測</t>
    </r>
    <r>
      <rPr>
        <sz val="10"/>
        <rFont val="Noto Sans CJK SC"/>
        <family val="2"/>
        <charset val="1"/>
      </rPr>
      <t xml:space="preserve">1.52mm</t>
    </r>
    <r>
      <rPr>
        <sz val="10"/>
        <rFont val="WenQuanYi Zen Hei"/>
        <family val="2"/>
      </rPr>
      <t xml:space="preserve">、基準</t>
    </r>
    <r>
      <rPr>
        <sz val="10"/>
        <rFont val="Noto Sans CJK SC"/>
        <family val="2"/>
        <charset val="1"/>
      </rPr>
      <t xml:space="preserve">1.30±0.05mm</t>
    </r>
  </si>
  <si>
    <r>
      <rPr>
        <sz val="10"/>
        <rFont val="WenQuanYi Zen Hei"/>
        <family val="2"/>
      </rPr>
      <t xml:space="preserve">【画像（手書き）】</t>
    </r>
    <r>
      <rPr>
        <sz val="10"/>
        <rFont val="Noto Sans CJK SC"/>
        <family val="2"/>
        <charset val="1"/>
      </rPr>
      <t xml:space="preserve">P6 </t>
    </r>
    <r>
      <rPr>
        <sz val="10"/>
        <rFont val="WenQuanYi Zen Hei"/>
        <family val="2"/>
      </rPr>
      <t xml:space="preserve">スキャン画像（実測は手書き）</t>
    </r>
  </si>
  <si>
    <r>
      <rPr>
        <sz val="10"/>
        <rFont val="WenQuanYi Zen Hei"/>
        <family val="2"/>
      </rPr>
      <t xml:space="preserve">実測</t>
    </r>
    <r>
      <rPr>
        <sz val="10"/>
        <rFont val="Meiryo UI"/>
        <family val="0"/>
        <charset val="1"/>
      </rPr>
      <t xml:space="preserve">1.52mm</t>
    </r>
    <r>
      <rPr>
        <sz val="10"/>
        <rFont val="WenQuanYi Zen Hei"/>
        <family val="2"/>
      </rPr>
      <t xml:space="preserve">、基準</t>
    </r>
    <r>
      <rPr>
        <sz val="10"/>
        <rFont val="Meiryo UI"/>
        <family val="0"/>
        <charset val="1"/>
      </rPr>
      <t xml:space="preserve">1.30±0.05mm</t>
    </r>
  </si>
  <si>
    <r>
      <rPr>
        <sz val="11"/>
        <color theme="1"/>
        <rFont val="WenQuanYi Zen Hei"/>
        <family val="2"/>
      </rPr>
      <t xml:space="preserve">ノズル径の実測値は</t>
    </r>
    <r>
      <rPr>
        <sz val="11"/>
        <color theme="1"/>
        <rFont val="Calibri"/>
        <family val="2"/>
        <charset val="1"/>
      </rPr>
      <t xml:space="preserve">1.52mm</t>
    </r>
    <r>
      <rPr>
        <sz val="11"/>
        <color theme="1"/>
        <rFont val="WenQuanYi Zen Hei"/>
        <family val="2"/>
      </rPr>
      <t xml:space="preserve">、基準値は</t>
    </r>
    <r>
      <rPr>
        <sz val="11"/>
        <color theme="1"/>
        <rFont val="Calibri"/>
        <family val="2"/>
        <charset val="1"/>
      </rPr>
      <t xml:space="preserve">1.30±0.05mm</t>
    </r>
    <r>
      <rPr>
        <sz val="11"/>
        <color theme="1"/>
        <rFont val="WenQuanYi Zen Hei"/>
        <family val="2"/>
      </rPr>
      <t xml:space="preserve">です（スライド</t>
    </r>
    <r>
      <rPr>
        <sz val="11"/>
        <color theme="1"/>
        <rFont val="Calibri"/>
        <family val="2"/>
        <charset val="1"/>
      </rPr>
      <t xml:space="preserve">6</t>
    </r>
    <r>
      <rPr>
        <sz val="11"/>
        <color theme="1"/>
        <rFont val="WenQuanYi Zen Hei"/>
        <family val="2"/>
      </rPr>
      <t xml:space="preserve">の設備点検記録、</t>
    </r>
    <r>
      <rPr>
        <sz val="11"/>
        <color theme="1"/>
        <rFont val="Calibri"/>
        <family val="2"/>
        <charset val="1"/>
      </rPr>
      <t xml:space="preserve">11/12</t>
    </r>
    <r>
      <rPr>
        <sz val="11"/>
        <color theme="1"/>
        <rFont val="WenQuanYi Zen Hei"/>
        <family val="2"/>
      </rPr>
      <t xml:space="preserve">点検。判定は</t>
    </r>
    <r>
      <rPr>
        <sz val="11"/>
        <color theme="1"/>
        <rFont val="Calibri"/>
        <family val="2"/>
        <charset val="1"/>
      </rPr>
      <t xml:space="preserve">×</t>
    </r>
    <r>
      <rPr>
        <sz val="11"/>
        <color theme="1"/>
        <rFont val="WenQuanYi Zen Hei"/>
        <family val="2"/>
      </rPr>
      <t xml:space="preserve">＝基準外）。</t>
    </r>
  </si>
  <si>
    <t xml:space="preserve">07-11</t>
  </si>
  <si>
    <t xml:space="preserve">点検記録表の点検日と点検者を答えてください。</t>
  </si>
  <si>
    <r>
      <rPr>
        <sz val="10"/>
        <rFont val="Meiryo UI"/>
        <family val="0"/>
        <charset val="1"/>
      </rPr>
      <t xml:space="preserve">11</t>
    </r>
    <r>
      <rPr>
        <sz val="10"/>
        <rFont val="WenQuanYi Zen Hei"/>
        <family val="2"/>
      </rPr>
      <t xml:space="preserve">月</t>
    </r>
    <r>
      <rPr>
        <sz val="10"/>
        <rFont val="Meiryo UI"/>
        <family val="0"/>
        <charset val="1"/>
      </rPr>
      <t xml:space="preserve">12</t>
    </r>
    <r>
      <rPr>
        <sz val="10"/>
        <rFont val="WenQuanYi Zen Hei"/>
        <family val="2"/>
      </rPr>
      <t xml:space="preserve">日、山岸</t>
    </r>
  </si>
  <si>
    <r>
      <rPr>
        <sz val="10"/>
        <rFont val="WenQuanYi Zen Hei"/>
        <family val="2"/>
      </rPr>
      <t xml:space="preserve">【画像（手書き）】</t>
    </r>
    <r>
      <rPr>
        <sz val="10"/>
        <rFont val="Noto Sans CJK SC"/>
        <family val="2"/>
        <charset val="1"/>
      </rPr>
      <t xml:space="preserve">P6 </t>
    </r>
    <r>
      <rPr>
        <sz val="10"/>
        <rFont val="WenQuanYi Zen Hei"/>
        <family val="2"/>
      </rPr>
      <t xml:space="preserve">スキャン画像（手書き）</t>
    </r>
  </si>
  <si>
    <r>
      <rPr>
        <sz val="10"/>
        <rFont val="Meiryo UI"/>
        <family val="0"/>
        <charset val="1"/>
      </rPr>
      <t xml:space="preserve">11/12</t>
    </r>
    <r>
      <rPr>
        <sz val="10"/>
        <rFont val="WenQuanYi Zen Hei"/>
        <family val="2"/>
      </rPr>
      <t xml:space="preserve">、山岸</t>
    </r>
  </si>
  <si>
    <r>
      <rPr>
        <sz val="11"/>
        <color theme="1"/>
        <rFont val="WenQuanYi Zen Hei"/>
        <family val="2"/>
      </rPr>
      <t xml:space="preserve">点検記録表（スライド</t>
    </r>
    <r>
      <rPr>
        <sz val="11"/>
        <color theme="1"/>
        <rFont val="Calibri"/>
        <family val="2"/>
        <charset val="1"/>
      </rPr>
      <t xml:space="preserve">6</t>
    </r>
    <r>
      <rPr>
        <sz val="11"/>
        <color theme="1"/>
        <rFont val="WenQuanYi Zen Hei"/>
        <family val="2"/>
      </rPr>
      <t xml:space="preserve">、塗装設備 点検記録表／第</t>
    </r>
    <r>
      <rPr>
        <sz val="11"/>
        <color theme="1"/>
        <rFont val="Calibri"/>
        <family val="2"/>
        <charset val="1"/>
      </rPr>
      <t xml:space="preserve">2</t>
    </r>
    <r>
      <rPr>
        <sz val="11"/>
        <color theme="1"/>
        <rFont val="WenQuanYi Zen Hei"/>
        <family val="2"/>
      </rPr>
      <t xml:space="preserve">工場 </t>
    </r>
    <r>
      <rPr>
        <sz val="11"/>
        <color theme="1"/>
        <rFont val="Calibri"/>
        <family val="2"/>
        <charset val="1"/>
      </rPr>
      <t xml:space="preserve">C</t>
    </r>
    <r>
      <rPr>
        <sz val="11"/>
        <color theme="1"/>
        <rFont val="WenQuanYi Zen Hei"/>
        <family val="2"/>
      </rPr>
      <t xml:space="preserve">ライン）によると、
</t>
    </r>
    <r>
      <rPr>
        <sz val="11"/>
        <color theme="1"/>
        <rFont val="Calibri"/>
        <family val="2"/>
        <charset val="1"/>
      </rPr>
      <t xml:space="preserve">- </t>
    </r>
    <r>
      <rPr>
        <sz val="11"/>
        <color theme="1"/>
        <rFont val="WenQuanYi Zen Hei"/>
        <family val="2"/>
      </rPr>
      <t xml:space="preserve">点検日：</t>
    </r>
    <r>
      <rPr>
        <sz val="11"/>
        <color theme="1"/>
        <rFont val="Calibri"/>
        <family val="2"/>
        <charset val="1"/>
      </rPr>
      <t xml:space="preserve">11/12</t>
    </r>
    <r>
      <rPr>
        <sz val="11"/>
        <color theme="1"/>
        <rFont val="WenQuanYi Zen Hei"/>
        <family val="2"/>
      </rPr>
      <t xml:space="preserve">（手書き）
</t>
    </r>
    <r>
      <rPr>
        <sz val="11"/>
        <color theme="1"/>
        <rFont val="Calibri"/>
        <family val="2"/>
        <charset val="1"/>
      </rPr>
      <t xml:space="preserve">- </t>
    </r>
    <r>
      <rPr>
        <sz val="11"/>
        <color theme="1"/>
        <rFont val="WenQuanYi Zen Hei"/>
        <family val="2"/>
      </rPr>
      <t xml:space="preserve">点検者：山岸（手書き）
です。</t>
    </r>
  </si>
  <si>
    <t xml:space="preserve">07-12</t>
  </si>
  <si>
    <r>
      <rPr>
        <sz val="10"/>
        <rFont val="WenQuanYi Zen Hei"/>
        <family val="2"/>
      </rPr>
      <t xml:space="preserve">対策前と対策後の工程能力指数（</t>
    </r>
    <r>
      <rPr>
        <sz val="10"/>
        <rFont val="Noto Sans CJK SC"/>
        <family val="2"/>
        <charset val="1"/>
      </rPr>
      <t xml:space="preserve">Cpk</t>
    </r>
    <r>
      <rPr>
        <sz val="10"/>
        <rFont val="WenQuanYi Zen Hei"/>
        <family val="2"/>
      </rPr>
      <t xml:space="preserve">）を答えてください。目標は達成していますか？</t>
    </r>
  </si>
  <si>
    <r>
      <rPr>
        <sz val="10"/>
        <rFont val="Meiryo UI"/>
        <family val="0"/>
        <charset val="1"/>
      </rPr>
      <t xml:space="preserve">0.71→1.45</t>
    </r>
    <r>
      <rPr>
        <sz val="10"/>
        <rFont val="WenQuanYi Zen Hei"/>
        <family val="2"/>
      </rPr>
      <t xml:space="preserve">。目標</t>
    </r>
    <r>
      <rPr>
        <sz val="10"/>
        <rFont val="Meiryo UI"/>
        <family val="0"/>
        <charset val="1"/>
      </rPr>
      <t xml:space="preserve">1.33</t>
    </r>
    <r>
      <rPr>
        <sz val="10"/>
        <rFont val="WenQuanYi Zen Hei"/>
        <family val="2"/>
      </rPr>
      <t xml:space="preserve">以上を達成</t>
    </r>
  </si>
  <si>
    <r>
      <rPr>
        <sz val="10"/>
        <rFont val="WenQuanYi Zen Hei"/>
        <family val="2"/>
      </rPr>
      <t xml:space="preserve">【下付き文字】</t>
    </r>
    <r>
      <rPr>
        <sz val="10"/>
        <rFont val="Noto Sans CJK SC"/>
        <family val="2"/>
        <charset val="1"/>
      </rPr>
      <t xml:space="preserve">P7 </t>
    </r>
    <r>
      <rPr>
        <sz val="10"/>
        <rFont val="WenQuanYi Zen Hei"/>
        <family val="2"/>
      </rPr>
      <t xml:space="preserve">下付き文字（</t>
    </r>
    <r>
      <rPr>
        <sz val="10"/>
        <rFont val="Noto Sans CJK SC"/>
        <family val="2"/>
        <charset val="1"/>
      </rPr>
      <t xml:space="preserve">pk</t>
    </r>
    <r>
      <rPr>
        <sz val="10"/>
        <rFont val="WenQuanYi Zen Hei"/>
        <family val="2"/>
      </rPr>
      <t xml:space="preserve">）</t>
    </r>
  </si>
  <si>
    <r>
      <rPr>
        <sz val="10"/>
        <rFont val="Meiryo UI"/>
        <family val="0"/>
        <charset val="1"/>
      </rPr>
      <t xml:space="preserve">0.71→1.45</t>
    </r>
    <r>
      <rPr>
        <sz val="10"/>
        <rFont val="WenQuanYi Zen Hei"/>
        <family val="2"/>
      </rPr>
      <t xml:space="preserve">、目標</t>
    </r>
    <r>
      <rPr>
        <sz val="10"/>
        <rFont val="Meiryo UI"/>
        <family val="0"/>
        <charset val="1"/>
      </rPr>
      <t xml:space="preserve">1.33</t>
    </r>
    <r>
      <rPr>
        <sz val="10"/>
        <rFont val="WenQuanYi Zen Hei"/>
        <family val="2"/>
      </rPr>
      <t xml:space="preserve">以上を達成</t>
    </r>
  </si>
  <si>
    <r>
      <rPr>
        <sz val="11"/>
        <color theme="1"/>
        <rFont val="WenQuanYi Zen Hei"/>
        <family val="2"/>
      </rPr>
      <t xml:space="preserve">工程能力指数（</t>
    </r>
    <r>
      <rPr>
        <sz val="11"/>
        <color theme="1"/>
        <rFont val="Calibri"/>
        <family val="2"/>
        <charset val="1"/>
      </rPr>
      <t xml:space="preserve">Cpk</t>
    </r>
    <r>
      <rPr>
        <sz val="11"/>
        <color theme="1"/>
        <rFont val="WenQuanYi Zen Hei"/>
        <family val="2"/>
      </rPr>
      <t xml:space="preserve">）は、対策前が</t>
    </r>
    <r>
      <rPr>
        <sz val="11"/>
        <color theme="1"/>
        <rFont val="Calibri"/>
        <family val="2"/>
        <charset val="1"/>
      </rPr>
      <t xml:space="preserve">0.71</t>
    </r>
    <r>
      <rPr>
        <sz val="11"/>
        <color theme="1"/>
        <rFont val="WenQuanYi Zen Hei"/>
        <family val="2"/>
      </rPr>
      <t xml:space="preserve">、対策後が</t>
    </r>
    <r>
      <rPr>
        <sz val="11"/>
        <color theme="1"/>
        <rFont val="Calibri"/>
        <family val="2"/>
        <charset val="1"/>
      </rPr>
      <t xml:space="preserve">1.45</t>
    </r>
    <r>
      <rPr>
        <sz val="11"/>
        <color theme="1"/>
        <rFont val="WenQuanYi Zen Hei"/>
        <family val="2"/>
      </rPr>
      <t xml:space="preserve">です（スライド</t>
    </r>
    <r>
      <rPr>
        <sz val="11"/>
        <color theme="1"/>
        <rFont val="Calibri"/>
        <family val="2"/>
        <charset val="1"/>
      </rPr>
      <t xml:space="preserve">7</t>
    </r>
    <r>
      <rPr>
        <sz val="11"/>
        <color theme="1"/>
        <rFont val="WenQuanYi Zen Hei"/>
        <family val="2"/>
      </rPr>
      <t xml:space="preserve">「対策と効果」より）。
工程能力の目標は「</t>
    </r>
    <r>
      <rPr>
        <sz val="11"/>
        <color theme="1"/>
        <rFont val="Calibri"/>
        <family val="2"/>
        <charset val="1"/>
      </rPr>
      <t xml:space="preserve">1.33</t>
    </r>
    <r>
      <rPr>
        <sz val="11"/>
        <color theme="1"/>
        <rFont val="WenQuanYi Zen Hei"/>
        <family val="2"/>
      </rPr>
      <t xml:space="preserve">以上」とされているため、対策後の</t>
    </r>
    <r>
      <rPr>
        <sz val="11"/>
        <color theme="1"/>
        <rFont val="Calibri"/>
        <family val="2"/>
        <charset val="1"/>
      </rPr>
      <t xml:space="preserve">Cpk 1.45</t>
    </r>
    <r>
      <rPr>
        <sz val="11"/>
        <color theme="1"/>
        <rFont val="WenQuanYi Zen Hei"/>
        <family val="2"/>
      </rPr>
      <t xml:space="preserve">は目標を達成しています（対策前の</t>
    </r>
    <r>
      <rPr>
        <sz val="11"/>
        <color theme="1"/>
        <rFont val="Calibri"/>
        <family val="2"/>
        <charset val="1"/>
      </rPr>
      <t xml:space="preserve">0.71</t>
    </r>
    <r>
      <rPr>
        <sz val="11"/>
        <color theme="1"/>
        <rFont val="WenQuanYi Zen Hei"/>
        <family val="2"/>
      </rPr>
      <t xml:space="preserve">は目標未達でした）。</t>
    </r>
  </si>
  <si>
    <t xml:space="preserve">07-13</t>
  </si>
  <si>
    <r>
      <rPr>
        <sz val="10"/>
        <rFont val="WenQuanYi Zen Hei"/>
        <family val="2"/>
      </rPr>
      <t xml:space="preserve">膜厚のばらつき（</t>
    </r>
    <r>
      <rPr>
        <sz val="10"/>
        <rFont val="Noto Sans CJK SC"/>
        <family val="2"/>
        <charset val="1"/>
      </rPr>
      <t xml:space="preserve">σ</t>
    </r>
    <r>
      <rPr>
        <sz val="10"/>
        <rFont val="WenQuanYi Zen Hei"/>
        <family val="2"/>
      </rPr>
      <t xml:space="preserve">）は何％低減しましたか？小数第</t>
    </r>
    <r>
      <rPr>
        <sz val="10"/>
        <rFont val="Noto Sans CJK SC"/>
        <family val="2"/>
        <charset val="1"/>
      </rPr>
      <t xml:space="preserve">1</t>
    </r>
    <r>
      <rPr>
        <sz val="10"/>
        <rFont val="WenQuanYi Zen Hei"/>
        <family val="2"/>
      </rPr>
      <t xml:space="preserve">位まで答えてください。</t>
    </r>
  </si>
  <si>
    <r>
      <rPr>
        <sz val="10"/>
        <rFont val="Meiryo UI"/>
        <family val="0"/>
        <charset val="1"/>
      </rPr>
      <t xml:space="preserve">60.4%</t>
    </r>
    <r>
      <rPr>
        <sz val="10"/>
        <rFont val="WenQuanYi Zen Hei"/>
        <family val="2"/>
      </rPr>
      <t xml:space="preserve">（</t>
    </r>
    <r>
      <rPr>
        <sz val="10"/>
        <rFont val="Meiryo UI"/>
        <family val="0"/>
        <charset val="1"/>
      </rPr>
      <t xml:space="preserve">(4.8−1.9)÷4.8</t>
    </r>
    <r>
      <rPr>
        <sz val="10"/>
        <rFont val="WenQuanYi Zen Hei"/>
        <family val="2"/>
      </rPr>
      <t xml:space="preserve">）</t>
    </r>
  </si>
  <si>
    <r>
      <rPr>
        <sz val="10"/>
        <rFont val="WenQuanYi Zen Hei"/>
        <family val="2"/>
      </rPr>
      <t xml:space="preserve">【計算】</t>
    </r>
    <r>
      <rPr>
        <sz val="10"/>
        <rFont val="Noto Sans CJK SC"/>
        <family val="2"/>
        <charset val="1"/>
      </rPr>
      <t xml:space="preserve">P7</t>
    </r>
  </si>
  <si>
    <r>
      <rPr>
        <sz val="10"/>
        <rFont val="WenQuanYi Zen Hei"/>
        <family val="2"/>
      </rPr>
      <t xml:space="preserve">約</t>
    </r>
    <r>
      <rPr>
        <sz val="10"/>
        <rFont val="Meiryo UI"/>
        <family val="0"/>
        <charset val="1"/>
      </rPr>
      <t xml:space="preserve">60.4%</t>
    </r>
  </si>
  <si>
    <r>
      <rPr>
        <sz val="11"/>
        <color theme="1"/>
        <rFont val="WenQuanYi Zen Hei"/>
        <family val="2"/>
      </rPr>
      <t xml:space="preserve">膜厚のばらつき（</t>
    </r>
    <r>
      <rPr>
        <sz val="11"/>
        <color theme="1"/>
        <rFont val="Calibri"/>
        <family val="2"/>
        <charset val="1"/>
      </rPr>
      <t xml:space="preserve">σ</t>
    </r>
    <r>
      <rPr>
        <sz val="11"/>
        <color theme="1"/>
        <rFont val="WenQuanYi Zen Hei"/>
        <family val="2"/>
      </rPr>
      <t xml:space="preserve">）は </t>
    </r>
    <r>
      <rPr>
        <sz val="11"/>
        <color theme="1"/>
        <rFont val="Calibri"/>
        <family val="2"/>
        <charset val="1"/>
      </rPr>
      <t xml:space="preserve">4.8μm → 1.9μm </t>
    </r>
    <r>
      <rPr>
        <sz val="11"/>
        <color theme="1"/>
        <rFont val="WenQuanYi Zen Hei"/>
        <family val="2"/>
      </rPr>
      <t xml:space="preserve">に低減しています（スライド</t>
    </r>
    <r>
      <rPr>
        <sz val="11"/>
        <color theme="1"/>
        <rFont val="Calibri"/>
        <family val="2"/>
        <charset val="1"/>
      </rPr>
      <t xml:space="preserve">7</t>
    </r>
    <r>
      <rPr>
        <sz val="11"/>
        <color theme="1"/>
        <rFont val="WenQuanYi Zen Hei"/>
        <family val="2"/>
      </rPr>
      <t xml:space="preserve">）。
低減率 </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4.8 − 1.9</t>
    </r>
    <r>
      <rPr>
        <sz val="11"/>
        <color theme="1"/>
        <rFont val="WenQuanYi Zen Hei"/>
        <family val="2"/>
      </rPr>
      <t xml:space="preserve">）</t>
    </r>
    <r>
      <rPr>
        <sz val="11"/>
        <color theme="1"/>
        <rFont val="Calibri"/>
        <family val="2"/>
        <charset val="1"/>
      </rPr>
      <t xml:space="preserve">÷ 4.8 = 2.9 ÷ 4.8 ≒ 0.6042
</t>
    </r>
    <r>
      <rPr>
        <sz val="11"/>
        <color theme="1"/>
        <rFont val="WenQuanYi Zen Hei"/>
        <family val="2"/>
      </rPr>
      <t xml:space="preserve">答え：約 </t>
    </r>
    <r>
      <rPr>
        <sz val="11"/>
        <color theme="1"/>
        <rFont val="Calibri"/>
        <family val="2"/>
        <charset val="1"/>
      </rPr>
      <t xml:space="preserve">60.4</t>
    </r>
    <r>
      <rPr>
        <sz val="11"/>
        <color theme="1"/>
        <rFont val="WenQuanYi Zen Hei"/>
        <family val="2"/>
      </rPr>
      <t xml:space="preserve">％ 低減</t>
    </r>
  </si>
  <si>
    <t xml:space="preserve">07-14</t>
  </si>
  <si>
    <t xml:space="preserve">対策前と対策後の写真では、どのような違いが見られますか？</t>
  </si>
  <si>
    <t xml:space="preserve">対策前はパネルに濃淡のムラ（斑点）が多く、対策後はムラが少なく均一</t>
  </si>
  <si>
    <r>
      <rPr>
        <sz val="10"/>
        <rFont val="WenQuanYi Zen Hei"/>
        <family val="2"/>
      </rPr>
      <t xml:space="preserve">【画像の比較】</t>
    </r>
    <r>
      <rPr>
        <sz val="10"/>
        <rFont val="Noto Sans CJK SC"/>
        <family val="2"/>
        <charset val="1"/>
      </rPr>
      <t xml:space="preserve">P7 2</t>
    </r>
    <r>
      <rPr>
        <sz val="10"/>
        <rFont val="WenQuanYi Zen Hei"/>
        <family val="2"/>
      </rPr>
      <t xml:space="preserve">枚の画像</t>
    </r>
  </si>
  <si>
    <t xml:space="preserve">対策前は円形のムラが多数、対策後はほぼ均一</t>
  </si>
  <si>
    <r>
      <rPr>
        <sz val="11"/>
        <color theme="1"/>
        <rFont val="WenQuanYi Zen Hei"/>
        <family val="2"/>
      </rPr>
      <t xml:space="preserve">スライド</t>
    </r>
    <r>
      <rPr>
        <sz val="11"/>
        <color theme="1"/>
        <rFont val="Calibri"/>
        <family val="2"/>
        <charset val="1"/>
      </rPr>
      <t xml:space="preserve">7</t>
    </r>
    <r>
      <rPr>
        <sz val="11"/>
        <color theme="1"/>
        <rFont val="WenQuanYi Zen Hei"/>
        <family val="2"/>
      </rPr>
      <t xml:space="preserve">「対策と効果」の対策前・対策後の塗装パネル写真（青色パネル）を比べると、次の違いがあります。
</t>
    </r>
    <r>
      <rPr>
        <sz val="11"/>
        <color theme="1"/>
        <rFont val="Calibri"/>
        <family val="2"/>
        <charset val="1"/>
      </rPr>
      <t xml:space="preserve">- </t>
    </r>
    <r>
      <rPr>
        <sz val="11"/>
        <color theme="1"/>
        <rFont val="WenQuanYi Zen Hei"/>
        <family val="2"/>
      </rPr>
      <t xml:space="preserve">対策前：パネル表面に、明暗の異なる大小の円形のムラが多数見られます。
</t>
    </r>
    <r>
      <rPr>
        <sz val="11"/>
        <color theme="1"/>
        <rFont val="Calibri"/>
        <family val="2"/>
        <charset val="1"/>
      </rPr>
      <t xml:space="preserve">- </t>
    </r>
    <r>
      <rPr>
        <sz val="11"/>
        <color theme="1"/>
        <rFont val="WenQuanYi Zen Hei"/>
        <family val="2"/>
      </rPr>
      <t xml:space="preserve">対策後：ムラはごく小さな斑点が数か所残る程度で、ほぼ均一な塗装面になっています。
つまり、対策（ノズルの</t>
    </r>
    <r>
      <rPr>
        <sz val="11"/>
        <color theme="1"/>
        <rFont val="Calibri"/>
        <family val="2"/>
        <charset val="1"/>
      </rPr>
      <t xml:space="preserve">200</t>
    </r>
    <r>
      <rPr>
        <sz val="11"/>
        <color theme="1"/>
        <rFont val="WenQuanYi Zen Hei"/>
        <family val="2"/>
      </rPr>
      <t xml:space="preserve">時間ごとの交換、塗料粘度の自動測定と警報、膜厚測定の再教育）の後は塗装ムラが大幅に減り、仕上がりが均一になっています。この見た目の変化は、同じスライドの数値の効果（膜厚のばらつき </t>
    </r>
    <r>
      <rPr>
        <sz val="11"/>
        <color theme="1"/>
        <rFont val="Calibri"/>
        <family val="2"/>
        <charset val="1"/>
      </rPr>
      <t xml:space="preserve">σ 4.8μm→1.9μm</t>
    </r>
    <r>
      <rPr>
        <sz val="11"/>
        <color theme="1"/>
        <rFont val="WenQuanYi Zen Hei"/>
        <family val="2"/>
      </rPr>
      <t xml:space="preserve">、</t>
    </r>
    <r>
      <rPr>
        <sz val="11"/>
        <color theme="1"/>
        <rFont val="Calibri"/>
        <family val="2"/>
        <charset val="1"/>
      </rPr>
      <t xml:space="preserve">Cpk 0.71→1.45</t>
    </r>
    <r>
      <rPr>
        <sz val="11"/>
        <color theme="1"/>
        <rFont val="WenQuanYi Zen Hei"/>
        <family val="2"/>
      </rPr>
      <t xml:space="preserve">）と一致しています。</t>
    </r>
  </si>
  <si>
    <t xml:space="preserve">07-15</t>
  </si>
  <si>
    <r>
      <rPr>
        <sz val="10"/>
        <rFont val="WenQuanYi Zen Hei"/>
        <family val="2"/>
      </rPr>
      <t xml:space="preserve">ノズル使用時間が</t>
    </r>
    <r>
      <rPr>
        <sz val="10"/>
        <rFont val="Noto Sans CJK SC"/>
        <family val="2"/>
        <charset val="1"/>
      </rPr>
      <t xml:space="preserve">150</t>
    </r>
    <r>
      <rPr>
        <sz val="10"/>
        <rFont val="WenQuanYi Zen Hei"/>
        <family val="2"/>
      </rPr>
      <t xml:space="preserve">時間、塗料粘度が</t>
    </r>
    <r>
      <rPr>
        <sz val="10"/>
        <rFont val="Noto Sans CJK SC"/>
        <family val="2"/>
        <charset val="1"/>
      </rPr>
      <t xml:space="preserve">21</t>
    </r>
    <r>
      <rPr>
        <sz val="10"/>
        <rFont val="WenQuanYi Zen Hei"/>
        <family val="2"/>
      </rPr>
      <t xml:space="preserve">秒の場合、どう対応しますか？</t>
    </r>
  </si>
  <si>
    <t xml:space="preserve">粘度を調整して再測定</t>
  </si>
  <si>
    <r>
      <rPr>
        <sz val="10"/>
        <rFont val="WenQuanYi Zen Hei"/>
        <family val="2"/>
      </rPr>
      <t xml:space="preserve">【図解（判断フロー）】</t>
    </r>
    <r>
      <rPr>
        <sz val="10"/>
        <rFont val="Noto Sans CJK SC"/>
        <family val="2"/>
        <charset val="1"/>
      </rPr>
      <t xml:space="preserve">P8 </t>
    </r>
    <r>
      <rPr>
        <sz val="10"/>
        <rFont val="WenQuanYi Zen Hei"/>
        <family val="2"/>
      </rPr>
      <t xml:space="preserve">判断フロー（</t>
    </r>
    <r>
      <rPr>
        <sz val="10"/>
        <rFont val="Noto Sans CJK SC"/>
        <family val="2"/>
        <charset val="1"/>
      </rPr>
      <t xml:space="preserve">Yes/No</t>
    </r>
    <r>
      <rPr>
        <sz val="10"/>
        <rFont val="WenQuanYi Zen Hei"/>
        <family val="2"/>
      </rPr>
      <t xml:space="preserve">分岐）</t>
    </r>
  </si>
  <si>
    <r>
      <rPr>
        <sz val="11"/>
        <color theme="1"/>
        <rFont val="WenQuanYi Zen Hei"/>
        <family val="2"/>
      </rPr>
      <t xml:space="preserve">スライド</t>
    </r>
    <r>
      <rPr>
        <sz val="11"/>
        <color theme="1"/>
        <rFont val="Calibri"/>
        <family val="2"/>
        <charset val="1"/>
      </rPr>
      <t xml:space="preserve">8</t>
    </r>
    <r>
      <rPr>
        <sz val="11"/>
        <color theme="1"/>
        <rFont val="WenQuanYi Zen Hei"/>
        <family val="2"/>
      </rPr>
      <t xml:space="preserve">の日常管理の判断フローに沿うと、次のようになります。
</t>
    </r>
    <r>
      <rPr>
        <sz val="11"/>
        <color theme="1"/>
        <rFont val="Calibri"/>
        <family val="2"/>
        <charset val="1"/>
      </rPr>
      <t xml:space="preserve">1. </t>
    </r>
    <r>
      <rPr>
        <sz val="11"/>
        <color theme="1"/>
        <rFont val="WenQuanYi Zen Hei"/>
        <family val="2"/>
      </rPr>
      <t xml:space="preserve">ノズル使用時間は</t>
    </r>
    <r>
      <rPr>
        <sz val="11"/>
        <color theme="1"/>
        <rFont val="Calibri"/>
        <family val="2"/>
        <charset val="1"/>
      </rPr>
      <t xml:space="preserve">150</t>
    </r>
    <r>
      <rPr>
        <sz val="11"/>
        <color theme="1"/>
        <rFont val="WenQuanYi Zen Hei"/>
        <family val="2"/>
      </rPr>
      <t xml:space="preserve">時間なので「</t>
    </r>
    <r>
      <rPr>
        <sz val="11"/>
        <color theme="1"/>
        <rFont val="Calibri"/>
        <family val="2"/>
        <charset val="1"/>
      </rPr>
      <t xml:space="preserve">200</t>
    </r>
    <r>
      <rPr>
        <sz val="11"/>
        <color theme="1"/>
        <rFont val="WenQuanYi Zen Hei"/>
        <family val="2"/>
      </rPr>
      <t xml:space="preserve">時間以上？」は </t>
    </r>
    <r>
      <rPr>
        <sz val="11"/>
        <color theme="1"/>
        <rFont val="Calibri"/>
        <family val="2"/>
        <charset val="1"/>
      </rPr>
      <t xml:space="preserve">No </t>
    </r>
    <r>
      <rPr>
        <sz val="11"/>
        <color theme="1"/>
        <rFont val="WenQuanYi Zen Hei"/>
        <family val="2"/>
      </rPr>
      <t xml:space="preserve">です。ノズル交換はまだ不要で、次の判断へ進みます。
</t>
    </r>
    <r>
      <rPr>
        <sz val="11"/>
        <color theme="1"/>
        <rFont val="Calibri"/>
        <family val="2"/>
        <charset val="1"/>
      </rPr>
      <t xml:space="preserve">2. </t>
    </r>
    <r>
      <rPr>
        <sz val="11"/>
        <color theme="1"/>
        <rFont val="WenQuanYi Zen Hei"/>
        <family val="2"/>
      </rPr>
      <t xml:space="preserve">塗料粘度は</t>
    </r>
    <r>
      <rPr>
        <sz val="11"/>
        <color theme="1"/>
        <rFont val="Calibri"/>
        <family val="2"/>
        <charset val="1"/>
      </rPr>
      <t xml:space="preserve">21</t>
    </r>
    <r>
      <rPr>
        <sz val="11"/>
        <color theme="1"/>
        <rFont val="WenQuanYi Zen Hei"/>
        <family val="2"/>
      </rPr>
      <t xml:space="preserve">秒で、基準の</t>
    </r>
    <r>
      <rPr>
        <sz val="11"/>
        <color theme="1"/>
        <rFont val="Calibri"/>
        <family val="2"/>
        <charset val="1"/>
      </rPr>
      <t xml:space="preserve">16</t>
    </r>
    <r>
      <rPr>
        <sz val="11"/>
        <color theme="1"/>
        <rFont val="WenQuanYi Zen Hei"/>
        <family val="2"/>
      </rPr>
      <t xml:space="preserve">〜</t>
    </r>
    <r>
      <rPr>
        <sz val="11"/>
        <color theme="1"/>
        <rFont val="Calibri"/>
        <family val="2"/>
        <charset val="1"/>
      </rPr>
      <t xml:space="preserve">20</t>
    </r>
    <r>
      <rPr>
        <sz val="11"/>
        <color theme="1"/>
        <rFont val="WenQuanYi Zen Hei"/>
        <family val="2"/>
      </rPr>
      <t xml:space="preserve">秒（</t>
    </r>
    <r>
      <rPr>
        <sz val="11"/>
        <color theme="1"/>
        <rFont val="Calibri"/>
        <family val="2"/>
        <charset val="1"/>
      </rPr>
      <t xml:space="preserve">18±2</t>
    </r>
    <r>
      <rPr>
        <sz val="11"/>
        <color theme="1"/>
        <rFont val="WenQuanYi Zen Hei"/>
        <family val="2"/>
      </rPr>
      <t xml:space="preserve">秒）を外れています。そのため「範囲内？」は </t>
    </r>
    <r>
      <rPr>
        <sz val="11"/>
        <color theme="1"/>
        <rFont val="Calibri"/>
        <family val="2"/>
        <charset val="1"/>
      </rPr>
      <t xml:space="preserve">No </t>
    </r>
    <r>
      <rPr>
        <sz val="11"/>
        <color theme="1"/>
        <rFont val="WenQuanYi Zen Hei"/>
        <family val="2"/>
      </rPr>
      <t xml:space="preserve">になります。
対応：粘度を調整してから再測定します。そのまま生産を続けてはいけません。
再測定の結果が</t>
    </r>
    <r>
      <rPr>
        <sz val="11"/>
        <color theme="1"/>
        <rFont val="Calibri"/>
        <family val="2"/>
        <charset val="1"/>
      </rPr>
      <t xml:space="preserve">16</t>
    </r>
    <r>
      <rPr>
        <sz val="11"/>
        <color theme="1"/>
        <rFont val="WenQuanYi Zen Hei"/>
        <family val="2"/>
      </rPr>
      <t xml:space="preserve">〜</t>
    </r>
    <r>
      <rPr>
        <sz val="11"/>
        <color theme="1"/>
        <rFont val="Calibri"/>
        <family val="2"/>
        <charset val="1"/>
      </rPr>
      <t xml:space="preserve">20</t>
    </r>
    <r>
      <rPr>
        <sz val="11"/>
        <color theme="1"/>
        <rFont val="WenQuanYi Zen Hei"/>
        <family val="2"/>
      </rPr>
      <t xml:space="preserve">秒の範囲に入れば、生産を継続できます。
補足：資料の図には「粘度を調整して再測定」の後にどこへ戻るかの矢印が描かれていません。再測定後の扱いは、フローの趣旨から読み取ったものです。</t>
    </r>
  </si>
  <si>
    <t xml:space="preserve">07-16</t>
  </si>
  <si>
    <t xml:space="preserve">対策後の不良率は何％ですか？</t>
  </si>
  <si>
    <t xml:space="preserve">0.9%</t>
  </si>
  <si>
    <r>
      <rPr>
        <sz val="10"/>
        <rFont val="WenQuanYi Zen Hei"/>
        <family val="2"/>
      </rPr>
      <t xml:space="preserve">【ドーナツ＋重ねた文字】</t>
    </r>
    <r>
      <rPr>
        <sz val="10"/>
        <rFont val="Noto Sans CJK SC"/>
        <family val="2"/>
        <charset val="1"/>
      </rPr>
      <t xml:space="preserve">P9 </t>
    </r>
    <r>
      <rPr>
        <sz val="10"/>
        <rFont val="WenQuanYi Zen Hei"/>
        <family val="2"/>
      </rPr>
      <t xml:space="preserve">ドーナツ中央に重ねたテキストボックス</t>
    </r>
  </si>
  <si>
    <r>
      <rPr>
        <sz val="11"/>
        <color theme="1"/>
        <rFont val="WenQuanYi Zen Hei"/>
        <family val="2"/>
      </rPr>
      <t xml:space="preserve">対策後（</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13</t>
    </r>
    <r>
      <rPr>
        <sz val="11"/>
        <color theme="1"/>
        <rFont val="WenQuanYi Zen Hei"/>
        <family val="2"/>
      </rPr>
      <t xml:space="preserve">日〜</t>
    </r>
    <r>
      <rPr>
        <sz val="11"/>
        <color theme="1"/>
        <rFont val="Calibri"/>
        <family val="2"/>
        <charset val="1"/>
      </rPr>
      <t xml:space="preserve">17</t>
    </r>
    <r>
      <rPr>
        <sz val="11"/>
        <color theme="1"/>
        <rFont val="WenQuanYi Zen Hei"/>
        <family val="2"/>
      </rPr>
      <t xml:space="preserve">日）の不良率は </t>
    </r>
    <r>
      <rPr>
        <sz val="11"/>
        <color theme="1"/>
        <rFont val="Calibri"/>
        <family val="2"/>
        <charset val="1"/>
      </rPr>
      <t xml:space="preserve">**0.9%** </t>
    </r>
    <r>
      <rPr>
        <sz val="11"/>
        <color theme="1"/>
        <rFont val="WenQuanYi Zen Hei"/>
        <family val="2"/>
      </rPr>
      <t xml:space="preserve">です。目標の</t>
    </r>
    <r>
      <rPr>
        <sz val="11"/>
        <color theme="1"/>
        <rFont val="Calibri"/>
        <family val="2"/>
        <charset val="1"/>
      </rPr>
      <t xml:space="preserve">1.0%</t>
    </r>
    <r>
      <rPr>
        <sz val="11"/>
        <color theme="1"/>
        <rFont val="WenQuanYi Zen Hei"/>
        <family val="2"/>
      </rPr>
      <t xml:space="preserve">以下を達成しています（不良</t>
    </r>
    <r>
      <rPr>
        <sz val="11"/>
        <color theme="1"/>
        <rFont val="Calibri"/>
        <family val="2"/>
        <charset val="1"/>
      </rPr>
      <t xml:space="preserve">10</t>
    </r>
    <r>
      <rPr>
        <sz val="11"/>
        <color theme="1"/>
        <rFont val="WenQuanYi Zen Hei"/>
        <family val="2"/>
      </rPr>
      <t xml:space="preserve">件 </t>
    </r>
    <r>
      <rPr>
        <sz val="11"/>
        <color theme="1"/>
        <rFont val="Calibri"/>
        <family val="2"/>
        <charset val="1"/>
      </rPr>
      <t xml:space="preserve">÷ </t>
    </r>
    <r>
      <rPr>
        <sz val="11"/>
        <color theme="1"/>
        <rFont val="WenQuanYi Zen Hei"/>
        <family val="2"/>
      </rPr>
      <t xml:space="preserve">生産数</t>
    </r>
    <r>
      <rPr>
        <sz val="11"/>
        <color theme="1"/>
        <rFont val="Calibri"/>
        <family val="2"/>
        <charset val="1"/>
      </rPr>
      <t xml:space="preserve">1,110</t>
    </r>
    <r>
      <rPr>
        <sz val="11"/>
        <color theme="1"/>
        <rFont val="WenQuanYi Zen Hei"/>
        <family val="2"/>
      </rPr>
      <t xml:space="preserve">個 ≒ </t>
    </r>
    <r>
      <rPr>
        <sz val="11"/>
        <color theme="1"/>
        <rFont val="Calibri"/>
        <family val="2"/>
        <charset val="1"/>
      </rPr>
      <t xml:space="preserve">0.9%</t>
    </r>
    <r>
      <rPr>
        <sz val="11"/>
        <color theme="1"/>
        <rFont val="WenQuanYi Zen Hei"/>
        <family val="2"/>
      </rPr>
      <t xml:space="preserve">）。</t>
    </r>
  </si>
  <si>
    <t xml:space="preserve">07-17</t>
  </si>
  <si>
    <t xml:space="preserve">対策後に最も件数が多い不良と、その件数を答えてください。</t>
  </si>
  <si>
    <r>
      <rPr>
        <sz val="10"/>
        <rFont val="WenQuanYi Zen Hei"/>
        <family val="2"/>
      </rPr>
      <t xml:space="preserve">異物付着、</t>
    </r>
    <r>
      <rPr>
        <sz val="10"/>
        <rFont val="Noto Sans CJK SC"/>
        <family val="2"/>
        <charset val="1"/>
      </rPr>
      <t xml:space="preserve">4</t>
    </r>
    <r>
      <rPr>
        <sz val="10"/>
        <rFont val="WenQuanYi Zen Hei"/>
        <family val="2"/>
      </rPr>
      <t xml:space="preserve">件</t>
    </r>
  </si>
  <si>
    <r>
      <rPr>
        <sz val="10"/>
        <rFont val="WenQuanYi Zen Hei"/>
        <family val="2"/>
      </rPr>
      <t xml:space="preserve">【ドーナツグラフ】</t>
    </r>
    <r>
      <rPr>
        <sz val="10"/>
        <rFont val="Noto Sans CJK SC"/>
        <family val="2"/>
        <charset val="1"/>
      </rPr>
      <t xml:space="preserve">P9 </t>
    </r>
    <r>
      <rPr>
        <sz val="10"/>
        <rFont val="WenQuanYi Zen Hei"/>
        <family val="2"/>
      </rPr>
      <t xml:space="preserve">ドーナツ（数値ラベルなし）</t>
    </r>
  </si>
  <si>
    <r>
      <rPr>
        <sz val="10"/>
        <rFont val="WenQuanYi Zen Hei"/>
        <family val="2"/>
      </rPr>
      <t xml:space="preserve">異物付着、</t>
    </r>
    <r>
      <rPr>
        <sz val="10"/>
        <rFont val="Meiryo UI"/>
        <family val="0"/>
        <charset val="1"/>
      </rPr>
      <t xml:space="preserve">4</t>
    </r>
    <r>
      <rPr>
        <sz val="10"/>
        <rFont val="WenQuanYi Zen Hei"/>
        <family val="2"/>
      </rPr>
      <t xml:space="preserve">件</t>
    </r>
  </si>
  <si>
    <r>
      <rPr>
        <sz val="11"/>
        <color theme="1"/>
        <rFont val="WenQuanYi Zen Hei"/>
        <family val="2"/>
      </rPr>
      <t xml:space="preserve">対策後（</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13</t>
    </r>
    <r>
      <rPr>
        <sz val="11"/>
        <color theme="1"/>
        <rFont val="WenQuanYi Zen Hei"/>
        <family val="2"/>
      </rPr>
      <t xml:space="preserve">日〜</t>
    </r>
    <r>
      <rPr>
        <sz val="11"/>
        <color theme="1"/>
        <rFont val="Calibri"/>
        <family val="2"/>
        <charset val="1"/>
      </rPr>
      <t xml:space="preserve">17</t>
    </r>
    <r>
      <rPr>
        <sz val="11"/>
        <color theme="1"/>
        <rFont val="WenQuanYi Zen Hei"/>
        <family val="2"/>
      </rPr>
      <t xml:space="preserve">日）に最も件数が多い不良は「異物付着」で、件数は</t>
    </r>
    <r>
      <rPr>
        <sz val="11"/>
        <color theme="1"/>
        <rFont val="Calibri"/>
        <family val="2"/>
        <charset val="1"/>
      </rPr>
      <t xml:space="preserve">4</t>
    </r>
    <r>
      <rPr>
        <sz val="11"/>
        <color theme="1"/>
        <rFont val="WenQuanYi Zen Hei"/>
        <family val="2"/>
      </rPr>
      <t xml:space="preserve">件です（全</t>
    </r>
    <r>
      <rPr>
        <sz val="11"/>
        <color theme="1"/>
        <rFont val="Calibri"/>
        <family val="2"/>
        <charset val="1"/>
      </rPr>
      <t xml:space="preserve">10</t>
    </r>
    <r>
      <rPr>
        <sz val="11"/>
        <color theme="1"/>
        <rFont val="WenQuanYi Zen Hei"/>
        <family val="2"/>
      </rPr>
      <t xml:space="preserve">件中）。</t>
    </r>
  </si>
  <si>
    <t xml:space="preserve">07-18</t>
  </si>
  <si>
    <t xml:space="preserve">『粘度の自動測定』がまだ実施されていないのは、どの工場のどのラインですか？</t>
  </si>
  <si>
    <r>
      <rPr>
        <sz val="10"/>
        <rFont val="WenQuanYi Zen Hei"/>
        <family val="2"/>
      </rPr>
      <t xml:space="preserve">第</t>
    </r>
    <r>
      <rPr>
        <sz val="10"/>
        <rFont val="Noto Sans CJK SC"/>
        <family val="2"/>
        <charset val="1"/>
      </rPr>
      <t xml:space="preserve">1</t>
    </r>
    <r>
      <rPr>
        <sz val="10"/>
        <rFont val="WenQuanYi Zen Hei"/>
        <family val="2"/>
      </rPr>
      <t xml:space="preserve">工場 </t>
    </r>
    <r>
      <rPr>
        <sz val="10"/>
        <rFont val="Noto Sans CJK SC"/>
        <family val="2"/>
        <charset val="1"/>
      </rPr>
      <t xml:space="preserve">B</t>
    </r>
    <r>
      <rPr>
        <sz val="10"/>
        <rFont val="WenQuanYi Zen Hei"/>
        <family val="2"/>
      </rPr>
      <t xml:space="preserve">ライン</t>
    </r>
  </si>
  <si>
    <r>
      <rPr>
        <sz val="10"/>
        <rFont val="WenQuanYi Zen Hei"/>
        <family val="2"/>
      </rPr>
      <t xml:space="preserve">【結合セル・縦書き】</t>
    </r>
    <r>
      <rPr>
        <sz val="10"/>
        <rFont val="Noto Sans CJK SC"/>
        <family val="2"/>
        <charset val="1"/>
      </rPr>
      <t xml:space="preserve">P10 </t>
    </r>
    <r>
      <rPr>
        <sz val="10"/>
        <rFont val="WenQuanYi Zen Hei"/>
        <family val="2"/>
      </rPr>
      <t xml:space="preserve">表（工場列は結合、見出しは縦書き）</t>
    </r>
  </si>
  <si>
    <r>
      <rPr>
        <sz val="10"/>
        <rFont val="WenQuanYi Zen Hei"/>
        <family val="2"/>
      </rPr>
      <t xml:space="preserve">第</t>
    </r>
    <r>
      <rPr>
        <sz val="10"/>
        <rFont val="Meiryo UI"/>
        <family val="0"/>
        <charset val="1"/>
      </rPr>
      <t xml:space="preserve">1</t>
    </r>
    <r>
      <rPr>
        <sz val="10"/>
        <rFont val="WenQuanYi Zen Hei"/>
        <family val="2"/>
      </rPr>
      <t xml:space="preserve">工場 </t>
    </r>
    <r>
      <rPr>
        <sz val="10"/>
        <rFont val="Meiryo UI"/>
        <family val="0"/>
        <charset val="1"/>
      </rPr>
      <t xml:space="preserve">B</t>
    </r>
    <r>
      <rPr>
        <sz val="10"/>
        <rFont val="WenQuanYi Zen Hei"/>
        <family val="2"/>
      </rPr>
      <t xml:space="preserve">ライン</t>
    </r>
  </si>
  <si>
    <r>
      <rPr>
        <sz val="11"/>
        <color theme="1"/>
        <rFont val="WenQuanYi Zen Hei"/>
        <family val="2"/>
      </rPr>
      <t xml:space="preserve">『粘度の自動測定』がまだ実施されていないのは、</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1</t>
    </r>
    <r>
      <rPr>
        <sz val="11"/>
        <color theme="1"/>
        <rFont val="WenQuanYi Zen Hei"/>
        <family val="2"/>
      </rPr>
      <t xml:space="preserve">工場の</t>
    </r>
    <r>
      <rPr>
        <sz val="11"/>
        <color theme="1"/>
        <rFont val="Calibri"/>
        <family val="2"/>
        <charset val="1"/>
      </rPr>
      <t xml:space="preserve">B</t>
    </r>
    <r>
      <rPr>
        <sz val="11"/>
        <color theme="1"/>
        <rFont val="WenQuanYi Zen Hei"/>
        <family val="2"/>
      </rPr>
      <t xml:space="preserve">ライン</t>
    </r>
    <r>
      <rPr>
        <sz val="11"/>
        <color theme="1"/>
        <rFont val="Calibri"/>
        <family val="2"/>
        <charset val="1"/>
      </rPr>
      <t xml:space="preserve">**</t>
    </r>
    <r>
      <rPr>
        <sz val="11"/>
        <color theme="1"/>
        <rFont val="WenQuanYi Zen Hei"/>
        <family val="2"/>
      </rPr>
      <t xml:space="preserve">です（スライド</t>
    </r>
    <r>
      <rPr>
        <sz val="11"/>
        <color theme="1"/>
        <rFont val="Calibri"/>
        <family val="2"/>
        <charset val="1"/>
      </rPr>
      <t xml:space="preserve">10</t>
    </r>
    <r>
      <rPr>
        <sz val="11"/>
        <color theme="1"/>
        <rFont val="WenQuanYi Zen Hei"/>
        <family val="2"/>
      </rPr>
      <t xml:space="preserve">の横展開状況で「未」＝未着手）。
なお発表者ノートによると、第</t>
    </r>
    <r>
      <rPr>
        <sz val="11"/>
        <color theme="1"/>
        <rFont val="Calibri"/>
        <family val="2"/>
        <charset val="1"/>
      </rPr>
      <t xml:space="preserve">1</t>
    </r>
    <r>
      <rPr>
        <sz val="11"/>
        <color theme="1"/>
        <rFont val="WenQuanYi Zen Hei"/>
        <family val="2"/>
      </rPr>
      <t xml:space="preserve">工場</t>
    </r>
    <r>
      <rPr>
        <sz val="11"/>
        <color theme="1"/>
        <rFont val="Calibri"/>
        <family val="2"/>
        <charset val="1"/>
      </rPr>
      <t xml:space="preserve">B</t>
    </r>
    <r>
      <rPr>
        <sz val="11"/>
        <color theme="1"/>
        <rFont val="WenQuanYi Zen Hei"/>
        <family val="2"/>
      </rPr>
      <t xml:space="preserve">ラインの粘度自動測定は</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2</t>
    </r>
    <r>
      <rPr>
        <sz val="11"/>
        <color theme="1"/>
        <rFont val="WenQuanYi Zen Hei"/>
        <family val="2"/>
      </rPr>
      <t xml:space="preserve">月の設備更新に合わせて実施する予定です。</t>
    </r>
  </si>
  <si>
    <t xml:space="preserve">07-19</t>
  </si>
  <si>
    <r>
      <rPr>
        <sz val="10"/>
        <rFont val="WenQuanYi Zen Hei"/>
        <family val="2"/>
      </rPr>
      <t xml:space="preserve">第</t>
    </r>
    <r>
      <rPr>
        <sz val="10"/>
        <rFont val="Noto Sans CJK SC"/>
        <family val="2"/>
        <charset val="1"/>
      </rPr>
      <t xml:space="preserve">1</t>
    </r>
    <r>
      <rPr>
        <sz val="10"/>
        <rFont val="WenQuanYi Zen Hei"/>
        <family val="2"/>
      </rPr>
      <t xml:space="preserve">工場</t>
    </r>
    <r>
      <rPr>
        <sz val="10"/>
        <rFont val="Noto Sans CJK SC"/>
        <family val="2"/>
        <charset val="1"/>
      </rPr>
      <t xml:space="preserve">B</t>
    </r>
    <r>
      <rPr>
        <sz val="10"/>
        <rFont val="WenQuanYi Zen Hei"/>
        <family val="2"/>
      </rPr>
      <t xml:space="preserve">ラインの粘度自動測定はいつ実施する予定ですか？</t>
    </r>
  </si>
  <si>
    <r>
      <rPr>
        <sz val="10"/>
        <rFont val="Meiryo UI"/>
        <family val="0"/>
        <charset val="1"/>
      </rPr>
      <t xml:space="preserve">2027</t>
    </r>
    <r>
      <rPr>
        <sz val="10"/>
        <rFont val="WenQuanYi Zen Hei"/>
        <family val="2"/>
      </rPr>
      <t xml:space="preserve">年</t>
    </r>
    <r>
      <rPr>
        <sz val="10"/>
        <rFont val="Meiryo UI"/>
        <family val="0"/>
        <charset val="1"/>
      </rPr>
      <t xml:space="preserve">2</t>
    </r>
    <r>
      <rPr>
        <sz val="10"/>
        <rFont val="WenQuanYi Zen Hei"/>
        <family val="2"/>
      </rPr>
      <t xml:space="preserve">月（設備更新に合わせて）</t>
    </r>
  </si>
  <si>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2</t>
    </r>
    <r>
      <rPr>
        <sz val="11"/>
        <color theme="1"/>
        <rFont val="WenQuanYi Zen Hei"/>
        <family val="2"/>
      </rPr>
      <t xml:space="preserve">月の予定です。設備更新に合わせて実施する計画となっています（現時点では未着手）。</t>
    </r>
  </si>
  <si>
    <t xml:space="preserve">07-20</t>
  </si>
  <si>
    <r>
      <rPr>
        <b val="true"/>
        <sz val="12"/>
        <rFont val="WenQuanYi Zen Hei"/>
        <family val="2"/>
      </rPr>
      <t xml:space="preserve">対象：</t>
    </r>
    <r>
      <rPr>
        <b val="true"/>
        <sz val="12"/>
        <rFont val="Noto Sans CJK SC"/>
        <family val="2"/>
        <charset val="1"/>
      </rPr>
      <t xml:space="preserve">08_</t>
    </r>
    <r>
      <rPr>
        <b val="true"/>
        <sz val="12"/>
        <rFont val="WenQuanYi Zen Hei"/>
        <family val="2"/>
      </rPr>
      <t xml:space="preserve">デジタル広告</t>
    </r>
    <r>
      <rPr>
        <b val="true"/>
        <sz val="12"/>
        <rFont val="Noto Sans CJK SC"/>
        <family val="2"/>
        <charset val="1"/>
      </rPr>
      <t xml:space="preserve">_</t>
    </r>
    <r>
      <rPr>
        <b val="true"/>
        <sz val="12"/>
        <rFont val="WenQuanYi Zen Hei"/>
        <family val="2"/>
      </rPr>
      <t xml:space="preserve">効果検証</t>
    </r>
    <r>
      <rPr>
        <b val="true"/>
        <sz val="12"/>
        <rFont val="Noto Sans CJK SC"/>
        <family val="2"/>
        <charset val="1"/>
      </rPr>
      <t xml:space="preserve">.pptx</t>
    </r>
    <r>
      <rPr>
        <b val="true"/>
        <sz val="12"/>
        <rFont val="WenQuanYi Zen Hei"/>
        <family val="2"/>
      </rPr>
      <t xml:space="preserve">（</t>
    </r>
    <r>
      <rPr>
        <b val="true"/>
        <sz val="12"/>
        <rFont val="Noto Sans CJK SC"/>
        <family val="2"/>
        <charset val="1"/>
      </rPr>
      <t xml:space="preserve">10</t>
    </r>
    <r>
      <rPr>
        <b val="true"/>
        <sz val="12"/>
        <rFont val="WenQuanYi Zen Hei"/>
        <family val="2"/>
      </rPr>
      <t xml:space="preserve">枚）</t>
    </r>
  </si>
  <si>
    <t xml:space="preserve">全体</t>
  </si>
  <si>
    <t xml:space="preserve">この資料に掲載されている数値は確定値ですか？</t>
  </si>
  <si>
    <t xml:space="preserve">確定値ではない（速報値・確定前）</t>
  </si>
  <si>
    <r>
      <rPr>
        <sz val="10"/>
        <rFont val="WenQuanYi Zen Hei"/>
        <family val="2"/>
      </rPr>
      <t xml:space="preserve">【背景画像】</t>
    </r>
    <r>
      <rPr>
        <sz val="10"/>
        <rFont val="Noto Sans CJK SC"/>
        <family val="2"/>
        <charset val="1"/>
      </rPr>
      <t xml:space="preserve">P2</t>
    </r>
    <r>
      <rPr>
        <sz val="10"/>
        <rFont val="WenQuanYi Zen Hei"/>
        <family val="2"/>
      </rPr>
      <t xml:space="preserve">〜</t>
    </r>
    <r>
      <rPr>
        <sz val="10"/>
        <rFont val="Noto Sans CJK SC"/>
        <family val="2"/>
        <charset val="1"/>
      </rPr>
      <t xml:space="preserve">P10 </t>
    </r>
    <r>
      <rPr>
        <sz val="10"/>
        <rFont val="WenQuanYi Zen Hei"/>
        <family val="2"/>
      </rPr>
      <t xml:space="preserve">スライド背景画像の透かし文字</t>
    </r>
  </si>
  <si>
    <t xml:space="preserve">確定値ではない（速報値・確定前の透かし）</t>
  </si>
  <si>
    <r>
      <rPr>
        <sz val="11"/>
        <color theme="1"/>
        <rFont val="WenQuanYi Zen Hei"/>
        <family val="2"/>
      </rPr>
      <t xml:space="preserve">いいえ、確定値ではありません。
スライド</t>
    </r>
    <r>
      <rPr>
        <sz val="11"/>
        <color theme="1"/>
        <rFont val="Calibri"/>
        <family val="2"/>
        <charset val="1"/>
      </rPr>
      <t xml:space="preserve">2</t>
    </r>
    <r>
      <rPr>
        <sz val="11"/>
        <color theme="1"/>
        <rFont val="WenQuanYi Zen Hei"/>
        <family val="2"/>
      </rPr>
      <t xml:space="preserve">〜</t>
    </r>
    <r>
      <rPr>
        <sz val="11"/>
        <color theme="1"/>
        <rFont val="Calibri"/>
        <family val="2"/>
        <charset val="1"/>
      </rPr>
      <t xml:space="preserve">10</t>
    </r>
    <r>
      <rPr>
        <sz val="11"/>
        <color theme="1"/>
        <rFont val="WenQuanYi Zen Hei"/>
        <family val="2"/>
      </rPr>
      <t xml:space="preserve">には「速報値（確定前）」の透かしが入っており、本資料の数値はすべて確定前の速報値として扱う必要があります。
補足として、スライド</t>
    </r>
    <r>
      <rPr>
        <sz val="11"/>
        <color theme="1"/>
        <rFont val="Calibri"/>
        <family val="2"/>
        <charset val="1"/>
      </rPr>
      <t xml:space="preserve">9</t>
    </r>
    <r>
      <rPr>
        <sz val="11"/>
        <color theme="1"/>
        <rFont val="WenQuanYi Zen Hei"/>
        <family val="2"/>
      </rPr>
      <t xml:space="preserve">の日別データの合計（表示</t>
    </r>
    <r>
      <rPr>
        <sz val="11"/>
        <color theme="1"/>
        <rFont val="Calibri"/>
        <family val="2"/>
        <charset val="1"/>
      </rPr>
      <t xml:space="preserve">1,128,224</t>
    </r>
    <r>
      <rPr>
        <sz val="11"/>
        <color theme="1"/>
        <rFont val="WenQuanYi Zen Hei"/>
        <family val="2"/>
      </rPr>
      <t xml:space="preserve">回／クリック</t>
    </r>
    <r>
      <rPr>
        <sz val="11"/>
        <color theme="1"/>
        <rFont val="Calibri"/>
        <family val="2"/>
        <charset val="1"/>
      </rPr>
      <t xml:space="preserve">33,829</t>
    </r>
    <r>
      <rPr>
        <sz val="11"/>
        <color theme="1"/>
        <rFont val="WenQuanYi Zen Hei"/>
        <family val="2"/>
      </rPr>
      <t xml:space="preserve">回／購入</t>
    </r>
    <r>
      <rPr>
        <sz val="11"/>
        <color theme="1"/>
        <rFont val="Calibri"/>
        <family val="2"/>
        <charset val="1"/>
      </rPr>
      <t xml:space="preserve">1,017</t>
    </r>
    <r>
      <rPr>
        <sz val="11"/>
        <color theme="1"/>
        <rFont val="WenQuanYi Zen Hei"/>
        <family val="2"/>
      </rPr>
      <t xml:space="preserve">件、</t>
    </r>
    <r>
      <rPr>
        <sz val="11"/>
        <color theme="1"/>
        <rFont val="Calibri"/>
        <family val="2"/>
        <charset val="1"/>
      </rPr>
      <t xml:space="preserve">10/12</t>
    </r>
    <r>
      <rPr>
        <sz val="11"/>
        <color theme="1"/>
        <rFont val="WenQuanYi Zen Hei"/>
        <family val="2"/>
      </rPr>
      <t xml:space="preserve">欠測日を除く</t>
    </r>
    <r>
      <rPr>
        <sz val="11"/>
        <color theme="1"/>
        <rFont val="Calibri"/>
        <family val="2"/>
        <charset val="1"/>
      </rPr>
      <t xml:space="preserve">30</t>
    </r>
    <r>
      <rPr>
        <sz val="11"/>
        <color theme="1"/>
        <rFont val="WenQuanYi Zen Hei"/>
        <family val="2"/>
      </rPr>
      <t xml:space="preserve">日分）は、スライド</t>
    </r>
    <r>
      <rPr>
        <sz val="11"/>
        <color theme="1"/>
        <rFont val="Calibri"/>
        <family val="2"/>
        <charset val="1"/>
      </rPr>
      <t xml:space="preserve">2</t>
    </r>
    <r>
      <rPr>
        <sz val="11"/>
        <color theme="1"/>
        <rFont val="WenQuanYi Zen Hei"/>
        <family val="2"/>
      </rPr>
      <t xml:space="preserve">のファネルの数値（表示</t>
    </r>
    <r>
      <rPr>
        <sz val="11"/>
        <color theme="1"/>
        <rFont val="Calibri"/>
        <family val="2"/>
        <charset val="1"/>
      </rPr>
      <t xml:space="preserve">1,250,000</t>
    </r>
    <r>
      <rPr>
        <sz val="11"/>
        <color theme="1"/>
        <rFont val="WenQuanYi Zen Hei"/>
        <family val="2"/>
      </rPr>
      <t xml:space="preserve">回／クリック</t>
    </r>
    <r>
      <rPr>
        <sz val="11"/>
        <color theme="1"/>
        <rFont val="Calibri"/>
        <family val="2"/>
        <charset val="1"/>
      </rPr>
      <t xml:space="preserve">37,500</t>
    </r>
    <r>
      <rPr>
        <sz val="11"/>
        <color theme="1"/>
        <rFont val="WenQuanYi Zen Hei"/>
        <family val="2"/>
      </rPr>
      <t xml:space="preserve">回／購入</t>
    </r>
    <r>
      <rPr>
        <sz val="11"/>
        <color theme="1"/>
        <rFont val="Calibri"/>
        <family val="2"/>
        <charset val="1"/>
      </rPr>
      <t xml:space="preserve">1,080</t>
    </r>
    <r>
      <rPr>
        <sz val="11"/>
        <color theme="1"/>
        <rFont val="WenQuanYi Zen Hei"/>
        <family val="2"/>
      </rPr>
      <t xml:space="preserve">件）を下回っています。この差は欠測日</t>
    </r>
    <r>
      <rPr>
        <sz val="11"/>
        <color theme="1"/>
        <rFont val="Calibri"/>
        <family val="2"/>
        <charset val="1"/>
      </rPr>
      <t xml:space="preserve">1</t>
    </r>
    <r>
      <rPr>
        <sz val="11"/>
        <color theme="1"/>
        <rFont val="WenQuanYi Zen Hei"/>
        <family val="2"/>
      </rPr>
      <t xml:space="preserve">日分だけでは説明しにくいため、集計範囲や確定値との違いを確認する必要があるとされています。</t>
    </r>
  </si>
  <si>
    <t xml:space="preserve">08-01</t>
  </si>
  <si>
    <r>
      <rPr>
        <sz val="10"/>
        <rFont val="WenQuanYi Zen Hei"/>
        <family val="2"/>
      </rPr>
      <t xml:space="preserve">広告のクリック率（</t>
    </r>
    <r>
      <rPr>
        <sz val="10"/>
        <rFont val="Noto Sans CJK SC"/>
        <family val="2"/>
        <charset val="1"/>
      </rPr>
      <t xml:space="preserve">CTR</t>
    </r>
    <r>
      <rPr>
        <sz val="10"/>
        <rFont val="WenQuanYi Zen Hei"/>
        <family val="2"/>
      </rPr>
      <t xml:space="preserve">）は何％ですか？</t>
    </r>
  </si>
  <si>
    <t xml:space="preserve">3.0%</t>
  </si>
  <si>
    <r>
      <rPr>
        <sz val="10"/>
        <rFont val="WenQuanYi Zen Hei"/>
        <family val="2"/>
      </rPr>
      <t xml:space="preserve">【図解（フリーフォーム）】</t>
    </r>
    <r>
      <rPr>
        <sz val="10"/>
        <rFont val="Noto Sans CJK SC"/>
        <family val="2"/>
        <charset val="1"/>
      </rPr>
      <t xml:space="preserve">P2 </t>
    </r>
    <r>
      <rPr>
        <sz val="10"/>
        <rFont val="WenQuanYi Zen Hei"/>
        <family val="2"/>
      </rPr>
      <t xml:space="preserve">ファネル横の数値</t>
    </r>
  </si>
  <si>
    <r>
      <rPr>
        <sz val="11"/>
        <color theme="1"/>
        <rFont val="WenQuanYi Zen Hei"/>
        <family val="2"/>
      </rPr>
      <t xml:space="preserve">広告のクリック率（</t>
    </r>
    <r>
      <rPr>
        <sz val="11"/>
        <color theme="1"/>
        <rFont val="Calibri"/>
        <family val="2"/>
        <charset val="1"/>
      </rPr>
      <t xml:space="preserve">CTR</t>
    </r>
    <r>
      <rPr>
        <sz val="11"/>
        <color theme="1"/>
        <rFont val="WenQuanYi Zen Hei"/>
        <family val="2"/>
      </rPr>
      <t xml:space="preserve">）は、全体で</t>
    </r>
    <r>
      <rPr>
        <sz val="11"/>
        <color theme="1"/>
        <rFont val="Calibri"/>
        <family val="2"/>
        <charset val="1"/>
      </rPr>
      <t xml:space="preserve">3.0%</t>
    </r>
    <r>
      <rPr>
        <sz val="11"/>
        <color theme="1"/>
        <rFont val="WenQuanYi Zen Hei"/>
        <family val="2"/>
      </rPr>
      <t xml:space="preserve">です（広告表示</t>
    </r>
    <r>
      <rPr>
        <sz val="11"/>
        <color theme="1"/>
        <rFont val="Calibri"/>
        <family val="2"/>
        <charset val="1"/>
      </rPr>
      <t xml:space="preserve">1,250,000</t>
    </r>
    <r>
      <rPr>
        <sz val="11"/>
        <color theme="1"/>
        <rFont val="WenQuanYi Zen Hei"/>
        <family val="2"/>
      </rPr>
      <t xml:space="preserve">回に対しクリック</t>
    </r>
    <r>
      <rPr>
        <sz val="11"/>
        <color theme="1"/>
        <rFont val="Calibri"/>
        <family val="2"/>
        <charset val="1"/>
      </rPr>
      <t xml:space="preserve">37,500</t>
    </r>
    <r>
      <rPr>
        <sz val="11"/>
        <color theme="1"/>
        <rFont val="WenQuanYi Zen Hei"/>
        <family val="2"/>
      </rPr>
      <t xml:space="preserve">回。スライド</t>
    </r>
    <r>
      <rPr>
        <sz val="11"/>
        <color theme="1"/>
        <rFont val="Calibri"/>
        <family val="2"/>
        <charset val="1"/>
      </rPr>
      <t xml:space="preserve">2</t>
    </r>
    <r>
      <rPr>
        <sz val="11"/>
        <color theme="1"/>
        <rFont val="WenQuanYi Zen Hei"/>
        <family val="2"/>
      </rPr>
      <t xml:space="preserve">のファネルより）。
なお、本資料の数値はすべて確定前の速報値です。
参考：
</t>
    </r>
    <r>
      <rPr>
        <sz val="11"/>
        <color theme="1"/>
        <rFont val="Calibri"/>
        <family val="2"/>
        <charset val="1"/>
      </rPr>
      <t xml:space="preserve">- </t>
    </r>
    <r>
      <rPr>
        <sz val="11"/>
        <color theme="1"/>
        <rFont val="WenQuanYi Zen Hei"/>
        <family val="2"/>
      </rPr>
      <t xml:space="preserve">バナー別では、バナー</t>
    </r>
    <r>
      <rPr>
        <sz val="11"/>
        <color theme="1"/>
        <rFont val="Calibri"/>
        <family val="2"/>
        <charset val="1"/>
      </rPr>
      <t xml:space="preserve">A</t>
    </r>
    <r>
      <rPr>
        <sz val="11"/>
        <color theme="1"/>
        <rFont val="WenQuanYi Zen Hei"/>
        <family val="2"/>
      </rPr>
      <t xml:space="preserve">（機能訴求）が</t>
    </r>
    <r>
      <rPr>
        <sz val="11"/>
        <color theme="1"/>
        <rFont val="Calibri"/>
        <family val="2"/>
        <charset val="1"/>
      </rPr>
      <t xml:space="preserve">3.4%</t>
    </r>
    <r>
      <rPr>
        <sz val="11"/>
        <color theme="1"/>
        <rFont val="WenQuanYi Zen Hei"/>
        <family val="2"/>
      </rPr>
      <t xml:space="preserve">、バナー</t>
    </r>
    <r>
      <rPr>
        <sz val="11"/>
        <color theme="1"/>
        <rFont val="Calibri"/>
        <family val="2"/>
        <charset val="1"/>
      </rPr>
      <t xml:space="preserve">B</t>
    </r>
    <r>
      <rPr>
        <sz val="11"/>
        <color theme="1"/>
        <rFont val="WenQuanYi Zen Hei"/>
        <family val="2"/>
      </rPr>
      <t xml:space="preserve">（情緒・季節訴求）が</t>
    </r>
    <r>
      <rPr>
        <sz val="11"/>
        <color theme="1"/>
        <rFont val="Calibri"/>
        <family val="2"/>
        <charset val="1"/>
      </rPr>
      <t xml:space="preserve">2.6%</t>
    </r>
    <r>
      <rPr>
        <sz val="11"/>
        <color theme="1"/>
        <rFont val="WenQuanYi Zen Hei"/>
        <family val="2"/>
      </rPr>
      <t xml:space="preserve">です（スライド</t>
    </r>
    <r>
      <rPr>
        <sz val="11"/>
        <color theme="1"/>
        <rFont val="Calibri"/>
        <family val="2"/>
        <charset val="1"/>
      </rPr>
      <t xml:space="preserve">7</t>
    </r>
    <r>
      <rPr>
        <sz val="11"/>
        <color theme="1"/>
        <rFont val="WenQuanYi Zen Hei"/>
        <family val="2"/>
      </rPr>
      <t xml:space="preserve">）。
</t>
    </r>
    <r>
      <rPr>
        <sz val="11"/>
        <color theme="1"/>
        <rFont val="Calibri"/>
        <family val="2"/>
        <charset val="1"/>
      </rPr>
      <t xml:space="preserve">- </t>
    </r>
    <r>
      <rPr>
        <sz val="11"/>
        <color theme="1"/>
        <rFont val="WenQuanYi Zen Hei"/>
        <family val="2"/>
      </rPr>
      <t xml:space="preserve">スライド</t>
    </r>
    <r>
      <rPr>
        <sz val="11"/>
        <color theme="1"/>
        <rFont val="Calibri"/>
        <family val="2"/>
        <charset val="1"/>
      </rPr>
      <t xml:space="preserve">9</t>
    </r>
    <r>
      <rPr>
        <sz val="11"/>
        <color theme="1"/>
        <rFont val="WenQuanYi Zen Hei"/>
        <family val="2"/>
      </rPr>
      <t xml:space="preserve">の日別データ（</t>
    </r>
    <r>
      <rPr>
        <sz val="11"/>
        <color theme="1"/>
        <rFont val="Calibri"/>
        <family val="2"/>
        <charset val="1"/>
      </rPr>
      <t xml:space="preserve">10/12</t>
    </r>
    <r>
      <rPr>
        <sz val="11"/>
        <color theme="1"/>
        <rFont val="WenQuanYi Zen Hei"/>
        <family val="2"/>
      </rPr>
      <t xml:space="preserve">欠測を除く</t>
    </r>
    <r>
      <rPr>
        <sz val="11"/>
        <color theme="1"/>
        <rFont val="Calibri"/>
        <family val="2"/>
        <charset val="1"/>
      </rPr>
      <t xml:space="preserve">30</t>
    </r>
    <r>
      <rPr>
        <sz val="11"/>
        <color theme="1"/>
        <rFont val="WenQuanYi Zen Hei"/>
        <family val="2"/>
      </rPr>
      <t xml:space="preserve">日分）から計算すると、</t>
    </r>
    <r>
      <rPr>
        <sz val="11"/>
        <color theme="1"/>
        <rFont val="Calibri"/>
        <family val="2"/>
        <charset val="1"/>
      </rPr>
      <t xml:space="preserve">33,829÷1,128,224≒3.0%</t>
    </r>
    <r>
      <rPr>
        <sz val="11"/>
        <color theme="1"/>
        <rFont val="WenQuanYi Zen Hei"/>
        <family val="2"/>
      </rPr>
      <t xml:space="preserve">で、ほぼ同じ値になります。</t>
    </r>
  </si>
  <si>
    <t xml:space="preserve">08-02</t>
  </si>
  <si>
    <t xml:space="preserve">カート投入から購入に至った割合は何％ですか？</t>
  </si>
  <si>
    <r>
      <rPr>
        <sz val="10"/>
        <rFont val="Meiryo UI"/>
        <family val="0"/>
        <charset val="1"/>
      </rPr>
      <t xml:space="preserve">30%</t>
    </r>
    <r>
      <rPr>
        <sz val="10"/>
        <rFont val="WenQuanYi Zen Hei"/>
        <family val="2"/>
      </rPr>
      <t xml:space="preserve">（</t>
    </r>
    <r>
      <rPr>
        <sz val="10"/>
        <rFont val="Meiryo UI"/>
        <family val="0"/>
        <charset val="1"/>
      </rPr>
      <t xml:space="preserve">1,080÷3,600</t>
    </r>
    <r>
      <rPr>
        <sz val="10"/>
        <rFont val="WenQuanYi Zen Hei"/>
        <family val="2"/>
      </rPr>
      <t xml:space="preserve">）</t>
    </r>
  </si>
  <si>
    <r>
      <rPr>
        <sz val="10"/>
        <rFont val="WenQuanYi Zen Hei"/>
        <family val="2"/>
      </rPr>
      <t xml:space="preserve">【計算】</t>
    </r>
    <r>
      <rPr>
        <sz val="10"/>
        <rFont val="Noto Sans CJK SC"/>
        <family val="2"/>
        <charset val="1"/>
      </rPr>
      <t xml:space="preserve">P2 </t>
    </r>
    <r>
      <rPr>
        <sz val="10"/>
        <rFont val="WenQuanYi Zen Hei"/>
        <family val="2"/>
      </rPr>
      <t xml:space="preserve">ファネル</t>
    </r>
  </si>
  <si>
    <r>
      <rPr>
        <sz val="10"/>
        <rFont val="Meiryo UI"/>
        <family val="0"/>
        <charset val="1"/>
      </rPr>
      <t xml:space="preserve">30.0%</t>
    </r>
    <r>
      <rPr>
        <sz val="10"/>
        <rFont val="WenQuanYi Zen Hei"/>
        <family val="2"/>
      </rPr>
      <t xml:space="preserve">（</t>
    </r>
    <r>
      <rPr>
        <sz val="10"/>
        <rFont val="Meiryo UI"/>
        <family val="0"/>
        <charset val="1"/>
      </rPr>
      <t xml:space="preserve">1,080÷3,600</t>
    </r>
    <r>
      <rPr>
        <sz val="10"/>
        <rFont val="WenQuanYi Zen Hei"/>
        <family val="2"/>
      </rPr>
      <t xml:space="preserve">）</t>
    </r>
  </si>
  <si>
    <r>
      <rPr>
        <sz val="11"/>
        <color theme="1"/>
        <rFont val="WenQuanYi Zen Hei"/>
        <family val="2"/>
      </rPr>
      <t xml:space="preserve">カート投入から購入に至った割合は</t>
    </r>
    <r>
      <rPr>
        <sz val="11"/>
        <color theme="1"/>
        <rFont val="Calibri"/>
        <family val="2"/>
        <charset val="1"/>
      </rPr>
      <t xml:space="preserve">30.0</t>
    </r>
    <r>
      <rPr>
        <sz val="11"/>
        <color theme="1"/>
        <rFont val="WenQuanYi Zen Hei"/>
        <family val="2"/>
      </rPr>
      <t xml:space="preserve">％です（カート投入</t>
    </r>
    <r>
      <rPr>
        <sz val="11"/>
        <color theme="1"/>
        <rFont val="Calibri"/>
        <family val="2"/>
        <charset val="1"/>
      </rPr>
      <t xml:space="preserve">3,600</t>
    </r>
    <r>
      <rPr>
        <sz val="11"/>
        <color theme="1"/>
        <rFont val="WenQuanYi Zen Hei"/>
        <family val="2"/>
      </rPr>
      <t xml:space="preserve">件→購入</t>
    </r>
    <r>
      <rPr>
        <sz val="11"/>
        <color theme="1"/>
        <rFont val="Calibri"/>
        <family val="2"/>
        <charset val="1"/>
      </rPr>
      <t xml:space="preserve">1,080</t>
    </r>
    <r>
      <rPr>
        <sz val="11"/>
        <color theme="1"/>
        <rFont val="WenQuanYi Zen Hei"/>
        <family val="2"/>
      </rPr>
      <t xml:space="preserve">件）。</t>
    </r>
  </si>
  <si>
    <t xml:space="preserve">08-03</t>
  </si>
  <si>
    <t xml:space="preserve">商品ページの閲覧数はいくつですか？</t>
  </si>
  <si>
    <r>
      <rPr>
        <sz val="10"/>
        <rFont val="Meiryo UI"/>
        <family val="0"/>
        <charset val="1"/>
      </rPr>
      <t xml:space="preserve">22,500</t>
    </r>
    <r>
      <rPr>
        <sz val="10"/>
        <rFont val="WenQuanYi Zen Hei"/>
        <family val="2"/>
      </rPr>
      <t xml:space="preserve">回</t>
    </r>
  </si>
  <si>
    <r>
      <rPr>
        <sz val="10"/>
        <rFont val="WenQuanYi Zen Hei"/>
        <family val="2"/>
      </rPr>
      <t xml:space="preserve">【図解（フリーフォーム）】</t>
    </r>
    <r>
      <rPr>
        <sz val="10"/>
        <rFont val="Noto Sans CJK SC"/>
        <family val="2"/>
        <charset val="1"/>
      </rPr>
      <t xml:space="preserve">P2 </t>
    </r>
    <r>
      <rPr>
        <sz val="10"/>
        <rFont val="WenQuanYi Zen Hei"/>
        <family val="2"/>
      </rPr>
      <t xml:space="preserve">ファネル（台形の図形に重ねた文字）</t>
    </r>
  </si>
  <si>
    <r>
      <rPr>
        <sz val="11"/>
        <color theme="1"/>
        <rFont val="WenQuanYi Zen Hei"/>
        <family val="2"/>
      </rPr>
      <t xml:space="preserve">商品ページの閲覧数は</t>
    </r>
    <r>
      <rPr>
        <sz val="11"/>
        <color theme="1"/>
        <rFont val="Calibri"/>
        <family val="2"/>
        <charset val="1"/>
      </rPr>
      <t xml:space="preserve">22,500</t>
    </r>
    <r>
      <rPr>
        <sz val="11"/>
        <color theme="1"/>
        <rFont val="WenQuanYi Zen Hei"/>
        <family val="2"/>
      </rPr>
      <t xml:space="preserve">回です（スライド</t>
    </r>
    <r>
      <rPr>
        <sz val="11"/>
        <color theme="1"/>
        <rFont val="Calibri"/>
        <family val="2"/>
        <charset val="1"/>
      </rPr>
      <t xml:space="preserve">2</t>
    </r>
    <r>
      <rPr>
        <sz val="11"/>
        <color theme="1"/>
        <rFont val="WenQuanYi Zen Hei"/>
        <family val="2"/>
      </rPr>
      <t xml:space="preserve">「購入までのファネル」より）。クリック</t>
    </r>
    <r>
      <rPr>
        <sz val="11"/>
        <color theme="1"/>
        <rFont val="Calibri"/>
        <family val="2"/>
        <charset val="1"/>
      </rPr>
      <t xml:space="preserve">37,500</t>
    </r>
    <r>
      <rPr>
        <sz val="11"/>
        <color theme="1"/>
        <rFont val="WenQuanYi Zen Hei"/>
        <family val="2"/>
      </rPr>
      <t xml:space="preserve">回からの遷移率は</t>
    </r>
    <r>
      <rPr>
        <sz val="11"/>
        <color theme="1"/>
        <rFont val="Calibri"/>
        <family val="2"/>
        <charset val="1"/>
      </rPr>
      <t xml:space="preserve">60.0%</t>
    </r>
    <r>
      <rPr>
        <sz val="11"/>
        <color theme="1"/>
        <rFont val="WenQuanYi Zen Hei"/>
        <family val="2"/>
      </rPr>
      <t xml:space="preserve">です。なお、本資料の数値は確定前の速報値です。</t>
    </r>
  </si>
  <si>
    <t xml:space="preserve">08-04</t>
  </si>
  <si>
    <r>
      <rPr>
        <sz val="10"/>
        <rFont val="Meiryo UI"/>
        <family val="0"/>
        <charset val="1"/>
      </rPr>
      <t xml:space="preserve">CPA</t>
    </r>
    <r>
      <rPr>
        <sz val="10"/>
        <rFont val="WenQuanYi Zen Hei"/>
        <family val="2"/>
      </rPr>
      <t xml:space="preserve">が最も高いチャネルと、その値を答えてください。</t>
    </r>
  </si>
  <si>
    <r>
      <rPr>
        <sz val="10"/>
        <rFont val="WenQuanYi Zen Hei"/>
        <family val="2"/>
      </rPr>
      <t xml:space="preserve">動画、</t>
    </r>
    <r>
      <rPr>
        <sz val="10"/>
        <rFont val="Noto Sans CJK SC"/>
        <family val="2"/>
        <charset val="1"/>
      </rPr>
      <t xml:space="preserve">6,500</t>
    </r>
    <r>
      <rPr>
        <sz val="10"/>
        <rFont val="WenQuanYi Zen Hei"/>
        <family val="2"/>
      </rPr>
      <t xml:space="preserve">円</t>
    </r>
  </si>
  <si>
    <r>
      <rPr>
        <sz val="10"/>
        <rFont val="WenQuanYi Zen Hei"/>
        <family val="2"/>
      </rPr>
      <t xml:space="preserve">【複合グラフ（第</t>
    </r>
    <r>
      <rPr>
        <sz val="10"/>
        <rFont val="Noto Sans CJK SC"/>
        <family val="2"/>
        <charset val="1"/>
      </rPr>
      <t xml:space="preserve">2</t>
    </r>
    <r>
      <rPr>
        <sz val="10"/>
        <rFont val="WenQuanYi Zen Hei"/>
        <family val="2"/>
      </rPr>
      <t xml:space="preserve">軸）】</t>
    </r>
    <r>
      <rPr>
        <sz val="10"/>
        <rFont val="Noto Sans CJK SC"/>
        <family val="2"/>
        <charset val="1"/>
      </rPr>
      <t xml:space="preserve">P3 </t>
    </r>
    <r>
      <rPr>
        <sz val="10"/>
        <rFont val="WenQuanYi Zen Hei"/>
        <family val="2"/>
      </rPr>
      <t xml:space="preserve">第</t>
    </r>
    <r>
      <rPr>
        <sz val="10"/>
        <rFont val="Noto Sans CJK SC"/>
        <family val="2"/>
        <charset val="1"/>
      </rPr>
      <t xml:space="preserve">2</t>
    </r>
    <r>
      <rPr>
        <sz val="10"/>
        <rFont val="WenQuanYi Zen Hei"/>
        <family val="2"/>
      </rPr>
      <t xml:space="preserve">軸の折れ線（数値ラベルなし）</t>
    </r>
  </si>
  <si>
    <r>
      <rPr>
        <sz val="10"/>
        <rFont val="WenQuanYi Zen Hei"/>
        <family val="2"/>
      </rPr>
      <t xml:space="preserve">動画、</t>
    </r>
    <r>
      <rPr>
        <sz val="10"/>
        <rFont val="Meiryo UI"/>
        <family val="0"/>
        <charset val="1"/>
      </rPr>
      <t xml:space="preserve">6,500</t>
    </r>
    <r>
      <rPr>
        <sz val="10"/>
        <rFont val="WenQuanYi Zen Hei"/>
        <family val="2"/>
      </rPr>
      <t xml:space="preserve">円</t>
    </r>
  </si>
  <si>
    <r>
      <rPr>
        <sz val="11"/>
        <color theme="1"/>
        <rFont val="Calibri"/>
        <family val="2"/>
        <charset val="1"/>
      </rPr>
      <t xml:space="preserve">CPA</t>
    </r>
    <r>
      <rPr>
        <sz val="11"/>
        <color theme="1"/>
        <rFont val="WenQuanYi Zen Hei"/>
        <family val="2"/>
      </rPr>
      <t xml:space="preserve">が最も高いチャネルは</t>
    </r>
    <r>
      <rPr>
        <sz val="11"/>
        <color theme="1"/>
        <rFont val="Calibri"/>
        <family val="2"/>
        <charset val="1"/>
      </rPr>
      <t xml:space="preserve">**</t>
    </r>
    <r>
      <rPr>
        <sz val="11"/>
        <color theme="1"/>
        <rFont val="WenQuanYi Zen Hei"/>
        <family val="2"/>
      </rPr>
      <t xml:space="preserve">動画広告</t>
    </r>
    <r>
      <rPr>
        <sz val="11"/>
        <color theme="1"/>
        <rFont val="Calibri"/>
        <family val="2"/>
        <charset val="1"/>
      </rPr>
      <t xml:space="preserve">**</t>
    </r>
    <r>
      <rPr>
        <sz val="11"/>
        <color theme="1"/>
        <rFont val="WenQuanYi Zen Hei"/>
        <family val="2"/>
      </rPr>
      <t xml:space="preserve">で、</t>
    </r>
    <r>
      <rPr>
        <sz val="11"/>
        <color theme="1"/>
        <rFont val="Calibri"/>
        <family val="2"/>
        <charset val="1"/>
      </rPr>
      <t xml:space="preserve">CPA</t>
    </r>
    <r>
      <rPr>
        <sz val="11"/>
        <color theme="1"/>
        <rFont val="WenQuanYi Zen Hei"/>
        <family val="2"/>
      </rPr>
      <t xml:space="preserve">は</t>
    </r>
    <r>
      <rPr>
        <sz val="11"/>
        <color theme="1"/>
        <rFont val="Calibri"/>
        <family val="2"/>
        <charset val="1"/>
      </rPr>
      <t xml:space="preserve">**6,500</t>
    </r>
    <r>
      <rPr>
        <sz val="11"/>
        <color theme="1"/>
        <rFont val="WenQuanYi Zen Hei"/>
        <family val="2"/>
      </rPr>
      <t xml:space="preserve">円</t>
    </r>
    <r>
      <rPr>
        <sz val="11"/>
        <color theme="1"/>
        <rFont val="Calibri"/>
        <family val="2"/>
        <charset val="1"/>
      </rPr>
      <t xml:space="preserve">**</t>
    </r>
    <r>
      <rPr>
        <sz val="11"/>
        <color theme="1"/>
        <rFont val="WenQuanYi Zen Hei"/>
        <family val="2"/>
      </rPr>
      <t xml:space="preserve">です（スライド</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より。なお数値は確定前の速報値）。</t>
    </r>
  </si>
  <si>
    <t xml:space="preserve">08-05</t>
  </si>
  <si>
    <t xml:space="preserve">グラフ上の注釈は、どのチャネルについて何を説明していますか？</t>
  </si>
  <si>
    <r>
      <rPr>
        <sz val="10"/>
        <rFont val="Meiryo UI"/>
        <family val="0"/>
        <charset val="1"/>
      </rPr>
      <t xml:space="preserve">SNS</t>
    </r>
    <r>
      <rPr>
        <sz val="10"/>
        <rFont val="WenQuanYi Zen Hei"/>
        <family val="2"/>
      </rPr>
      <t xml:space="preserve">。インフルエンサー起用（</t>
    </r>
    <r>
      <rPr>
        <sz val="10"/>
        <rFont val="Meiryo UI"/>
        <family val="0"/>
        <charset val="1"/>
      </rPr>
      <t xml:space="preserve">10/5</t>
    </r>
    <r>
      <rPr>
        <sz val="10"/>
        <rFont val="WenQuanYi Zen Hei"/>
        <family val="2"/>
      </rPr>
      <t xml:space="preserve">〜）</t>
    </r>
  </si>
  <si>
    <r>
      <rPr>
        <sz val="10"/>
        <rFont val="WenQuanYi Zen Hei"/>
        <family val="2"/>
      </rPr>
      <t xml:space="preserve">【図形による注釈】</t>
    </r>
    <r>
      <rPr>
        <sz val="10"/>
        <rFont val="Noto Sans CJK SC"/>
        <family val="2"/>
        <charset val="1"/>
      </rPr>
      <t xml:space="preserve">P3 </t>
    </r>
    <r>
      <rPr>
        <sz val="10"/>
        <rFont val="WenQuanYi Zen Hei"/>
        <family val="2"/>
      </rPr>
      <t xml:space="preserve">グラフに重ねた矢印とテキスト（位置で対応）</t>
    </r>
  </si>
  <si>
    <r>
      <rPr>
        <sz val="10"/>
        <rFont val="Meiryo UI"/>
        <family val="0"/>
        <charset val="1"/>
      </rPr>
      <t xml:space="preserve">SNS</t>
    </r>
    <r>
      <rPr>
        <sz val="10"/>
        <rFont val="WenQuanYi Zen Hei"/>
        <family val="2"/>
      </rPr>
      <t xml:space="preserve">、インフルエンサー起用（</t>
    </r>
    <r>
      <rPr>
        <sz val="10"/>
        <rFont val="Meiryo UI"/>
        <family val="0"/>
        <charset val="1"/>
      </rPr>
      <t xml:space="preserve">10/5</t>
    </r>
    <r>
      <rPr>
        <sz val="10"/>
        <rFont val="WenQuanYi Zen Hei"/>
        <family val="2"/>
      </rPr>
      <t xml:space="preserve">〜）</t>
    </r>
  </si>
  <si>
    <r>
      <rPr>
        <sz val="11"/>
        <color theme="1"/>
        <rFont val="WenQuanYi Zen Hei"/>
        <family val="2"/>
      </rPr>
      <t xml:space="preserve">グラフ上の注釈（スライド</t>
    </r>
    <r>
      <rPr>
        <sz val="11"/>
        <color theme="1"/>
        <rFont val="Calibri"/>
        <family val="2"/>
        <charset val="1"/>
      </rPr>
      <t xml:space="preserve">3</t>
    </r>
    <r>
      <rPr>
        <sz val="11"/>
        <color theme="1"/>
        <rFont val="WenQuanYi Zen Hei"/>
        <family val="2"/>
      </rPr>
      <t xml:space="preserve">「チャネル別の広告費と</t>
    </r>
    <r>
      <rPr>
        <sz val="11"/>
        <color theme="1"/>
        <rFont val="Calibri"/>
        <family val="2"/>
        <charset val="1"/>
      </rPr>
      <t xml:space="preserve">CPA</t>
    </r>
    <r>
      <rPr>
        <sz val="11"/>
        <color theme="1"/>
        <rFont val="WenQuanYi Zen Hei"/>
        <family val="2"/>
      </rPr>
      <t xml:space="preserve">」の吹き出し注記）は、</t>
    </r>
    <r>
      <rPr>
        <sz val="11"/>
        <color theme="1"/>
        <rFont val="Calibri"/>
        <family val="2"/>
        <charset val="1"/>
      </rPr>
      <t xml:space="preserve">SNS</t>
    </r>
    <r>
      <rPr>
        <sz val="11"/>
        <color theme="1"/>
        <rFont val="WenQuanYi Zen Hei"/>
        <family val="2"/>
      </rPr>
      <t xml:space="preserve">広告について説明しています。
</t>
    </r>
    <r>
      <rPr>
        <sz val="11"/>
        <color theme="1"/>
        <rFont val="Calibri"/>
        <family val="2"/>
        <charset val="1"/>
      </rPr>
      <t xml:space="preserve">- </t>
    </r>
    <r>
      <rPr>
        <sz val="11"/>
        <color theme="1"/>
        <rFont val="WenQuanYi Zen Hei"/>
        <family val="2"/>
      </rPr>
      <t xml:space="preserve">注釈の内容：「インフルエンサー起用（</t>
    </r>
    <r>
      <rPr>
        <sz val="11"/>
        <color theme="1"/>
        <rFont val="Calibri"/>
        <family val="2"/>
        <charset val="1"/>
      </rPr>
      <t xml:space="preserve">10/5</t>
    </r>
    <r>
      <rPr>
        <sz val="11"/>
        <color theme="1"/>
        <rFont val="WenQuanYi Zen Hei"/>
        <family val="2"/>
      </rPr>
      <t xml:space="preserve">〜）」
</t>
    </r>
    <r>
      <rPr>
        <sz val="11"/>
        <color theme="1"/>
        <rFont val="Calibri"/>
        <family val="2"/>
        <charset val="1"/>
      </rPr>
      <t xml:space="preserve">- </t>
    </r>
    <r>
      <rPr>
        <sz val="11"/>
        <color theme="1"/>
        <rFont val="WenQuanYi Zen Hei"/>
        <family val="2"/>
      </rPr>
      <t xml:space="preserve">矢印が</t>
    </r>
    <r>
      <rPr>
        <sz val="11"/>
        <color theme="1"/>
        <rFont val="Calibri"/>
        <family val="2"/>
        <charset val="1"/>
      </rPr>
      <t xml:space="preserve">SNS</t>
    </r>
    <r>
      <rPr>
        <sz val="11"/>
        <color theme="1"/>
        <rFont val="WenQuanYi Zen Hei"/>
        <family val="2"/>
      </rPr>
      <t xml:space="preserve">の棒（広告費）を指しており、</t>
    </r>
    <r>
      <rPr>
        <sz val="11"/>
        <color theme="1"/>
        <rFont val="Calibri"/>
        <family val="2"/>
        <charset val="1"/>
      </rPr>
      <t xml:space="preserve">SNS</t>
    </r>
    <r>
      <rPr>
        <sz val="11"/>
        <color theme="1"/>
        <rFont val="WenQuanYi Zen Hei"/>
        <family val="2"/>
      </rPr>
      <t xml:space="preserve">広告で</t>
    </r>
    <r>
      <rPr>
        <sz val="11"/>
        <color theme="1"/>
        <rFont val="Calibri"/>
        <family val="2"/>
        <charset val="1"/>
      </rPr>
      <t xml:space="preserve">10</t>
    </r>
    <r>
      <rPr>
        <sz val="11"/>
        <color theme="1"/>
        <rFont val="WenQuanYi Zen Hei"/>
        <family val="2"/>
      </rPr>
      <t xml:space="preserve">月</t>
    </r>
    <r>
      <rPr>
        <sz val="11"/>
        <color theme="1"/>
        <rFont val="Calibri"/>
        <family val="2"/>
        <charset val="1"/>
      </rPr>
      <t xml:space="preserve">5</t>
    </r>
    <r>
      <rPr>
        <sz val="11"/>
        <color theme="1"/>
        <rFont val="WenQuanYi Zen Hei"/>
        <family val="2"/>
      </rPr>
      <t xml:space="preserve">日からインフルエンサーを起用したことを示しています。
参考として、考察（スライド</t>
    </r>
    <r>
      <rPr>
        <sz val="11"/>
        <color theme="1"/>
        <rFont val="Calibri"/>
        <family val="2"/>
        <charset val="1"/>
      </rPr>
      <t xml:space="preserve">8</t>
    </r>
    <r>
      <rPr>
        <sz val="11"/>
        <color theme="1"/>
        <rFont val="WenQuanYi Zen Hei"/>
        <family val="2"/>
      </rPr>
      <t xml:space="preserve">）では、インフルエンサーの投稿後に</t>
    </r>
    <r>
      <rPr>
        <sz val="11"/>
        <color theme="1"/>
        <rFont val="Calibri"/>
        <family val="2"/>
        <charset val="1"/>
      </rPr>
      <t xml:space="preserve">SNS</t>
    </r>
    <r>
      <rPr>
        <sz val="11"/>
        <color theme="1"/>
        <rFont val="WenQuanYi Zen Hei"/>
        <family val="2"/>
      </rPr>
      <t xml:space="preserve">経由の流入は増えたものの購入率が低く、</t>
    </r>
    <r>
      <rPr>
        <sz val="11"/>
        <color theme="1"/>
        <rFont val="Calibri"/>
        <family val="2"/>
        <charset val="1"/>
      </rPr>
      <t xml:space="preserve">SNS</t>
    </r>
    <r>
      <rPr>
        <sz val="11"/>
        <color theme="1"/>
        <rFont val="WenQuanYi Zen Hei"/>
        <family val="2"/>
      </rPr>
      <t xml:space="preserve">広告の</t>
    </r>
    <r>
      <rPr>
        <sz val="11"/>
        <color theme="1"/>
        <rFont val="Calibri"/>
        <family val="2"/>
        <charset val="1"/>
      </rPr>
      <t xml:space="preserve">CPA</t>
    </r>
    <r>
      <rPr>
        <sz val="11"/>
        <color theme="1"/>
        <rFont val="WenQuanYi Zen Hei"/>
        <family val="2"/>
      </rPr>
      <t xml:space="preserve">が悪化したこと（実績</t>
    </r>
    <r>
      <rPr>
        <sz val="11"/>
        <color theme="1"/>
        <rFont val="Calibri"/>
        <family val="2"/>
        <charset val="1"/>
      </rPr>
      <t xml:space="preserve">4,100</t>
    </r>
    <r>
      <rPr>
        <sz val="11"/>
        <color theme="1"/>
        <rFont val="WenQuanYi Zen Hei"/>
        <family val="2"/>
      </rPr>
      <t xml:space="preserve">円、目標</t>
    </r>
    <r>
      <rPr>
        <sz val="11"/>
        <color theme="1"/>
        <rFont val="Calibri"/>
        <family val="2"/>
        <charset val="1"/>
      </rPr>
      <t xml:space="preserve">3,500</t>
    </r>
    <r>
      <rPr>
        <sz val="11"/>
        <color theme="1"/>
        <rFont val="WenQuanYi Zen Hei"/>
        <family val="2"/>
      </rPr>
      <t xml:space="preserve">円）を課題に挙げています。
なお、スライド</t>
    </r>
    <r>
      <rPr>
        <sz val="11"/>
        <color theme="1"/>
        <rFont val="Calibri"/>
        <family val="2"/>
        <charset val="1"/>
      </rPr>
      <t xml:space="preserve">4</t>
    </r>
    <r>
      <rPr>
        <sz val="11"/>
        <color theme="1"/>
        <rFont val="WenQuanYi Zen Hei"/>
        <family val="2"/>
      </rPr>
      <t xml:space="preserve">の週別流入グラフにも赤い破線のマーカー「キャンペーン開始」（</t>
    </r>
    <r>
      <rPr>
        <sz val="11"/>
        <color theme="1"/>
        <rFont val="Calibri"/>
        <family val="2"/>
        <charset val="1"/>
      </rPr>
      <t xml:space="preserve">W3</t>
    </r>
    <r>
      <rPr>
        <sz val="11"/>
        <color theme="1"/>
        <rFont val="WenQuanYi Zen Hei"/>
        <family val="2"/>
      </rPr>
      <t xml:space="preserve">の位置）があります。ただしこれは特定のチャネルについての注釈ではなく、期間の区切りを示すものです。</t>
    </r>
  </si>
  <si>
    <t xml:space="preserve">08-06</t>
  </si>
  <si>
    <r>
      <rPr>
        <sz val="10"/>
        <rFont val="Meiryo UI"/>
        <family val="0"/>
        <charset val="1"/>
      </rPr>
      <t xml:space="preserve">4</t>
    </r>
    <r>
      <rPr>
        <sz val="10"/>
        <rFont val="WenQuanYi Zen Hei"/>
        <family val="2"/>
      </rPr>
      <t xml:space="preserve">チャネルの広告費の合計はいくらですか？</t>
    </r>
  </si>
  <si>
    <r>
      <rPr>
        <sz val="10"/>
        <rFont val="Meiryo UI"/>
        <family val="0"/>
        <charset val="1"/>
      </rPr>
      <t xml:space="preserve">446.6</t>
    </r>
    <r>
      <rPr>
        <sz val="10"/>
        <rFont val="WenQuanYi Zen Hei"/>
        <family val="2"/>
      </rPr>
      <t xml:space="preserve">万円（</t>
    </r>
    <r>
      <rPr>
        <sz val="10"/>
        <rFont val="Meiryo UI"/>
        <family val="0"/>
        <charset val="1"/>
      </rPr>
      <t xml:space="preserve">126</t>
    </r>
    <r>
      <rPr>
        <sz val="10"/>
        <rFont val="WenQuanYi Zen Hei"/>
        <family val="2"/>
      </rPr>
      <t xml:space="preserve">＋</t>
    </r>
    <r>
      <rPr>
        <sz val="10"/>
        <rFont val="Meiryo UI"/>
        <family val="0"/>
        <charset val="1"/>
      </rPr>
      <t xml:space="preserve">123</t>
    </r>
    <r>
      <rPr>
        <sz val="10"/>
        <rFont val="WenQuanYi Zen Hei"/>
        <family val="2"/>
      </rPr>
      <t xml:space="preserve">＋</t>
    </r>
    <r>
      <rPr>
        <sz val="10"/>
        <rFont val="Meiryo UI"/>
        <family val="0"/>
        <charset val="1"/>
      </rPr>
      <t xml:space="preserve">130</t>
    </r>
    <r>
      <rPr>
        <sz val="10"/>
        <rFont val="WenQuanYi Zen Hei"/>
        <family val="2"/>
      </rPr>
      <t xml:space="preserve">＋</t>
    </r>
    <r>
      <rPr>
        <sz val="10"/>
        <rFont val="Meiryo UI"/>
        <family val="0"/>
        <charset val="1"/>
      </rPr>
      <t xml:space="preserve">67.6</t>
    </r>
    <r>
      <rPr>
        <sz val="10"/>
        <rFont val="WenQuanYi Zen Hei"/>
        <family val="2"/>
      </rPr>
      <t xml:space="preserve">）</t>
    </r>
  </si>
  <si>
    <r>
      <rPr>
        <sz val="10"/>
        <rFont val="WenQuanYi Zen Hei"/>
        <family val="2"/>
      </rPr>
      <t xml:space="preserve">【計算】</t>
    </r>
    <r>
      <rPr>
        <sz val="10"/>
        <rFont val="Noto Sans CJK SC"/>
        <family val="2"/>
        <charset val="1"/>
      </rPr>
      <t xml:space="preserve">P3 </t>
    </r>
    <r>
      <rPr>
        <sz val="10"/>
        <rFont val="WenQuanYi Zen Hei"/>
        <family val="2"/>
      </rPr>
      <t xml:space="preserve">棒グラフ（数値ラベルなし）</t>
    </r>
  </si>
  <si>
    <r>
      <rPr>
        <sz val="10"/>
        <rFont val="Meiryo UI"/>
        <family val="0"/>
        <charset val="1"/>
      </rPr>
      <t xml:space="preserve">446.6</t>
    </r>
    <r>
      <rPr>
        <sz val="10"/>
        <rFont val="WenQuanYi Zen Hei"/>
        <family val="2"/>
      </rPr>
      <t xml:space="preserve">万円</t>
    </r>
  </si>
  <si>
    <r>
      <rPr>
        <sz val="11"/>
        <color theme="1"/>
        <rFont val="Calibri"/>
        <family val="2"/>
        <charset val="1"/>
      </rPr>
      <t xml:space="preserve">4</t>
    </r>
    <r>
      <rPr>
        <sz val="11"/>
        <color theme="1"/>
        <rFont val="WenQuanYi Zen Hei"/>
        <family val="2"/>
      </rPr>
      <t xml:space="preserve">チャネル（検索・</t>
    </r>
    <r>
      <rPr>
        <sz val="11"/>
        <color theme="1"/>
        <rFont val="Calibri"/>
        <family val="2"/>
        <charset val="1"/>
      </rPr>
      <t xml:space="preserve">SNS</t>
    </r>
    <r>
      <rPr>
        <sz val="11"/>
        <color theme="1"/>
        <rFont val="WenQuanYi Zen Hei"/>
        <family val="2"/>
      </rPr>
      <t xml:space="preserve">・動画・ディスプレイ）の広告費の合計は </t>
    </r>
    <r>
      <rPr>
        <sz val="11"/>
        <color theme="1"/>
        <rFont val="Calibri"/>
        <family val="2"/>
        <charset val="1"/>
      </rPr>
      <t xml:space="preserve">**446.6</t>
    </r>
    <r>
      <rPr>
        <sz val="11"/>
        <color theme="1"/>
        <rFont val="WenQuanYi Zen Hei"/>
        <family val="2"/>
      </rPr>
      <t xml:space="preserve">万円</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4,466,000</t>
    </r>
    <r>
      <rPr>
        <sz val="11"/>
        <color theme="1"/>
        <rFont val="WenQuanYi Zen Hei"/>
        <family val="2"/>
      </rPr>
      <t xml:space="preserve">円）です。
内訳（</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10</t>
    </r>
    <r>
      <rPr>
        <sz val="11"/>
        <color theme="1"/>
        <rFont val="WenQuanYi Zen Hei"/>
        <family val="2"/>
      </rPr>
      <t xml:space="preserve">月、スライド</t>
    </r>
    <r>
      <rPr>
        <sz val="11"/>
        <color theme="1"/>
        <rFont val="Calibri"/>
        <family val="2"/>
        <charset val="1"/>
      </rPr>
      <t xml:space="preserve">3</t>
    </r>
    <r>
      <rPr>
        <sz val="11"/>
        <color theme="1"/>
        <rFont val="WenQuanYi Zen Hei"/>
        <family val="2"/>
      </rPr>
      <t xml:space="preserve">）：
</t>
    </r>
    <r>
      <rPr>
        <sz val="11"/>
        <color theme="1"/>
        <rFont val="Calibri"/>
        <family val="2"/>
        <charset val="1"/>
      </rPr>
      <t xml:space="preserve">- </t>
    </r>
    <r>
      <rPr>
        <sz val="11"/>
        <color theme="1"/>
        <rFont val="WenQuanYi Zen Hei"/>
        <family val="2"/>
      </rPr>
      <t xml:space="preserve">検索：</t>
    </r>
    <r>
      <rPr>
        <sz val="11"/>
        <color theme="1"/>
        <rFont val="Calibri"/>
        <family val="2"/>
        <charset val="1"/>
      </rPr>
      <t xml:space="preserve">126</t>
    </r>
    <r>
      <rPr>
        <sz val="11"/>
        <color theme="1"/>
        <rFont val="WenQuanYi Zen Hei"/>
        <family val="2"/>
      </rPr>
      <t xml:space="preserve">万円
</t>
    </r>
    <r>
      <rPr>
        <sz val="11"/>
        <color theme="1"/>
        <rFont val="Calibri"/>
        <family val="2"/>
        <charset val="1"/>
      </rPr>
      <t xml:space="preserve">- SNS</t>
    </r>
    <r>
      <rPr>
        <sz val="11"/>
        <color theme="1"/>
        <rFont val="WenQuanYi Zen Hei"/>
        <family val="2"/>
      </rPr>
      <t xml:space="preserve">：</t>
    </r>
    <r>
      <rPr>
        <sz val="11"/>
        <color theme="1"/>
        <rFont val="Calibri"/>
        <family val="2"/>
        <charset val="1"/>
      </rPr>
      <t xml:space="preserve">123</t>
    </r>
    <r>
      <rPr>
        <sz val="11"/>
        <color theme="1"/>
        <rFont val="WenQuanYi Zen Hei"/>
        <family val="2"/>
      </rPr>
      <t xml:space="preserve">万円
</t>
    </r>
    <r>
      <rPr>
        <sz val="11"/>
        <color theme="1"/>
        <rFont val="Calibri"/>
        <family val="2"/>
        <charset val="1"/>
      </rPr>
      <t xml:space="preserve">- </t>
    </r>
    <r>
      <rPr>
        <sz val="11"/>
        <color theme="1"/>
        <rFont val="WenQuanYi Zen Hei"/>
        <family val="2"/>
      </rPr>
      <t xml:space="preserve">動画：</t>
    </r>
    <r>
      <rPr>
        <sz val="11"/>
        <color theme="1"/>
        <rFont val="Calibri"/>
        <family val="2"/>
        <charset val="1"/>
      </rPr>
      <t xml:space="preserve">130</t>
    </r>
    <r>
      <rPr>
        <sz val="11"/>
        <color theme="1"/>
        <rFont val="WenQuanYi Zen Hei"/>
        <family val="2"/>
      </rPr>
      <t xml:space="preserve">万円
</t>
    </r>
    <r>
      <rPr>
        <sz val="11"/>
        <color theme="1"/>
        <rFont val="Calibri"/>
        <family val="2"/>
        <charset val="1"/>
      </rPr>
      <t xml:space="preserve">- </t>
    </r>
    <r>
      <rPr>
        <sz val="11"/>
        <color theme="1"/>
        <rFont val="WenQuanYi Zen Hei"/>
        <family val="2"/>
      </rPr>
      <t xml:space="preserve">ディスプレイ：</t>
    </r>
    <r>
      <rPr>
        <sz val="11"/>
        <color theme="1"/>
        <rFont val="Calibri"/>
        <family val="2"/>
        <charset val="1"/>
      </rPr>
      <t xml:space="preserve">67.6</t>
    </r>
    <r>
      <rPr>
        <sz val="11"/>
        <color theme="1"/>
        <rFont val="WenQuanYi Zen Hei"/>
        <family val="2"/>
      </rPr>
      <t xml:space="preserve">万円
※資料の数値は確定前の速報値です。</t>
    </r>
  </si>
  <si>
    <t xml:space="preserve">08-07</t>
  </si>
  <si>
    <r>
      <rPr>
        <sz val="10"/>
        <rFont val="Meiryo UI"/>
        <family val="0"/>
        <charset val="1"/>
      </rPr>
      <t xml:space="preserve">SNS</t>
    </r>
    <r>
      <rPr>
        <sz val="10"/>
        <rFont val="WenQuanYi Zen Hei"/>
        <family val="2"/>
      </rPr>
      <t xml:space="preserve">経由のセッション数が最も多かった週と、その数を答えてください。</t>
    </r>
  </si>
  <si>
    <r>
      <rPr>
        <sz val="10"/>
        <rFont val="Meiryo UI"/>
        <family val="0"/>
        <charset val="1"/>
      </rPr>
      <t xml:space="preserve">W4</t>
    </r>
    <r>
      <rPr>
        <sz val="10"/>
        <rFont val="WenQuanYi Zen Hei"/>
        <family val="2"/>
      </rPr>
      <t xml:space="preserve">、</t>
    </r>
    <r>
      <rPr>
        <sz val="10"/>
        <rFont val="Meiryo UI"/>
        <family val="0"/>
        <charset val="1"/>
      </rPr>
      <t xml:space="preserve">12</t>
    </r>
    <r>
      <rPr>
        <sz val="10"/>
        <rFont val="WenQuanYi Zen Hei"/>
        <family val="2"/>
      </rPr>
      <t xml:space="preserve">千（</t>
    </r>
    <r>
      <rPr>
        <sz val="10"/>
        <rFont val="Meiryo UI"/>
        <family val="0"/>
        <charset val="1"/>
      </rPr>
      <t xml:space="preserve">12,000</t>
    </r>
    <r>
      <rPr>
        <sz val="10"/>
        <rFont val="WenQuanYi Zen Hei"/>
        <family val="2"/>
      </rPr>
      <t xml:space="preserve">）</t>
    </r>
  </si>
  <si>
    <r>
      <rPr>
        <sz val="10"/>
        <rFont val="WenQuanYi Zen Hei"/>
        <family val="2"/>
      </rPr>
      <t xml:space="preserve">【面グラフ】</t>
    </r>
    <r>
      <rPr>
        <sz val="10"/>
        <rFont val="Noto Sans CJK SC"/>
        <family val="2"/>
        <charset val="1"/>
      </rPr>
      <t xml:space="preserve">P4 </t>
    </r>
    <r>
      <rPr>
        <sz val="10"/>
        <rFont val="WenQuanYi Zen Hei"/>
        <family val="2"/>
      </rPr>
      <t xml:space="preserve">積み上げ面グラフ</t>
    </r>
  </si>
  <si>
    <r>
      <rPr>
        <sz val="10"/>
        <rFont val="Meiryo UI"/>
        <family val="0"/>
        <charset val="1"/>
      </rPr>
      <t xml:space="preserve">W4</t>
    </r>
    <r>
      <rPr>
        <sz val="10"/>
        <rFont val="WenQuanYi Zen Hei"/>
        <family val="2"/>
      </rPr>
      <t xml:space="preserve">、</t>
    </r>
    <r>
      <rPr>
        <sz val="10"/>
        <rFont val="Meiryo UI"/>
        <family val="0"/>
        <charset val="1"/>
      </rPr>
      <t xml:space="preserve">12</t>
    </r>
    <r>
      <rPr>
        <sz val="10"/>
        <rFont val="WenQuanYi Zen Hei"/>
        <family val="2"/>
      </rPr>
      <t xml:space="preserve">千セッション</t>
    </r>
  </si>
  <si>
    <r>
      <rPr>
        <sz val="11"/>
        <color theme="1"/>
        <rFont val="Calibri"/>
        <family val="2"/>
        <charset val="1"/>
      </rPr>
      <t xml:space="preserve">SNS</t>
    </r>
    <r>
      <rPr>
        <sz val="11"/>
        <color theme="1"/>
        <rFont val="WenQuanYi Zen Hei"/>
        <family val="2"/>
      </rPr>
      <t xml:space="preserve">経由のセッション数が最も多かったのは </t>
    </r>
    <r>
      <rPr>
        <sz val="11"/>
        <color theme="1"/>
        <rFont val="Calibri"/>
        <family val="2"/>
        <charset val="1"/>
      </rPr>
      <t xml:space="preserve">W4 </t>
    </r>
    <r>
      <rPr>
        <sz val="11"/>
        <color theme="1"/>
        <rFont val="WenQuanYi Zen Hei"/>
        <family val="2"/>
      </rPr>
      <t xml:space="preserve">で、</t>
    </r>
    <r>
      <rPr>
        <sz val="11"/>
        <color theme="1"/>
        <rFont val="Calibri"/>
        <family val="2"/>
        <charset val="1"/>
      </rPr>
      <t xml:space="preserve">12</t>
    </r>
    <r>
      <rPr>
        <sz val="11"/>
        <color theme="1"/>
        <rFont val="WenQuanYi Zen Hei"/>
        <family val="2"/>
      </rPr>
      <t xml:space="preserve">千セッション（約</t>
    </r>
    <r>
      <rPr>
        <sz val="11"/>
        <color theme="1"/>
        <rFont val="Calibri"/>
        <family val="2"/>
        <charset val="1"/>
      </rPr>
      <t xml:space="preserve">12,000</t>
    </r>
    <r>
      <rPr>
        <sz val="11"/>
        <color theme="1"/>
        <rFont val="WenQuanYi Zen Hei"/>
        <family val="2"/>
      </rPr>
      <t xml:space="preserve">セッション）です。
（スライド</t>
    </r>
    <r>
      <rPr>
        <sz val="11"/>
        <color theme="1"/>
        <rFont val="Calibri"/>
        <family val="2"/>
        <charset val="1"/>
      </rPr>
      <t xml:space="preserve">4</t>
    </r>
    <r>
      <rPr>
        <sz val="11"/>
        <color theme="1"/>
        <rFont val="WenQuanYi Zen Hei"/>
        <family val="2"/>
      </rPr>
      <t xml:space="preserve">「週別の流入数」より。なお資料の注記では</t>
    </r>
    <r>
      <rPr>
        <sz val="11"/>
        <color theme="1"/>
        <rFont val="Calibri"/>
        <family val="2"/>
        <charset val="1"/>
      </rPr>
      <t xml:space="preserve">W1</t>
    </r>
    <r>
      <rPr>
        <sz val="11"/>
        <color theme="1"/>
        <rFont val="WenQuanYi Zen Hei"/>
        <family val="2"/>
      </rPr>
      <t xml:space="preserve">が</t>
    </r>
    <r>
      <rPr>
        <sz val="11"/>
        <color theme="1"/>
        <rFont val="Calibri"/>
        <family val="2"/>
        <charset val="1"/>
      </rPr>
      <t xml:space="preserve">9</t>
    </r>
    <r>
      <rPr>
        <sz val="11"/>
        <color theme="1"/>
        <rFont val="WenQuanYi Zen Hei"/>
        <family val="2"/>
      </rPr>
      <t xml:space="preserve">月第</t>
    </r>
    <r>
      <rPr>
        <sz val="11"/>
        <color theme="1"/>
        <rFont val="Calibri"/>
        <family val="2"/>
        <charset val="1"/>
      </rPr>
      <t xml:space="preserve">4</t>
    </r>
    <r>
      <rPr>
        <sz val="11"/>
        <color theme="1"/>
        <rFont val="WenQuanYi Zen Hei"/>
        <family val="2"/>
      </rPr>
      <t xml:space="preserve">週、</t>
    </r>
    <r>
      <rPr>
        <sz val="11"/>
        <color theme="1"/>
        <rFont val="Calibri"/>
        <family val="2"/>
        <charset val="1"/>
      </rPr>
      <t xml:space="preserve">10</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日を含む週が</t>
    </r>
    <r>
      <rPr>
        <sz val="11"/>
        <color theme="1"/>
        <rFont val="Calibri"/>
        <family val="2"/>
        <charset val="1"/>
      </rPr>
      <t xml:space="preserve">W2</t>
    </r>
    <r>
      <rPr>
        <sz val="11"/>
        <color theme="1"/>
        <rFont val="WenQuanYi Zen Hei"/>
        <family val="2"/>
      </rPr>
      <t xml:space="preserve">とされており、</t>
    </r>
    <r>
      <rPr>
        <sz val="11"/>
        <color theme="1"/>
        <rFont val="Calibri"/>
        <family val="2"/>
        <charset val="1"/>
      </rPr>
      <t xml:space="preserve">W4</t>
    </r>
    <r>
      <rPr>
        <sz val="11"/>
        <color theme="1"/>
        <rFont val="WenQuanYi Zen Hei"/>
        <family val="2"/>
      </rPr>
      <t xml:space="preserve">はその</t>
    </r>
    <r>
      <rPr>
        <sz val="11"/>
        <color theme="1"/>
        <rFont val="Calibri"/>
        <family val="2"/>
        <charset val="1"/>
      </rPr>
      <t xml:space="preserve">2</t>
    </r>
    <r>
      <rPr>
        <sz val="11"/>
        <color theme="1"/>
        <rFont val="WenQuanYi Zen Hei"/>
        <family val="2"/>
      </rPr>
      <t xml:space="preserve">週後にあたります。数値は速報値です。）</t>
    </r>
  </si>
  <si>
    <t xml:space="preserve">08-08</t>
  </si>
  <si>
    <t xml:space="preserve">キャンペーンは何週目に開始しましたか？</t>
  </si>
  <si>
    <r>
      <rPr>
        <sz val="10"/>
        <rFont val="Meiryo UI"/>
        <family val="0"/>
        <charset val="1"/>
      </rPr>
      <t xml:space="preserve">W3</t>
    </r>
    <r>
      <rPr>
        <sz val="10"/>
        <rFont val="WenQuanYi Zen Hei"/>
        <family val="2"/>
      </rPr>
      <t xml:space="preserve">（</t>
    </r>
    <r>
      <rPr>
        <sz val="10"/>
        <rFont val="Meiryo UI"/>
        <family val="0"/>
        <charset val="1"/>
      </rPr>
      <t xml:space="preserve">W3</t>
    </r>
    <r>
      <rPr>
        <sz val="10"/>
        <rFont val="WenQuanYi Zen Hei"/>
        <family val="2"/>
      </rPr>
      <t xml:space="preserve">の位置に開始線）</t>
    </r>
  </si>
  <si>
    <r>
      <rPr>
        <sz val="10"/>
        <rFont val="WenQuanYi Zen Hei"/>
        <family val="2"/>
      </rPr>
      <t xml:space="preserve">【図形の位置】</t>
    </r>
    <r>
      <rPr>
        <sz val="10"/>
        <rFont val="Noto Sans CJK SC"/>
        <family val="2"/>
        <charset val="1"/>
      </rPr>
      <t xml:space="preserve">P4 </t>
    </r>
    <r>
      <rPr>
        <sz val="10"/>
        <rFont val="WenQuanYi Zen Hei"/>
        <family val="2"/>
      </rPr>
      <t xml:space="preserve">グラフに重ねた破線の位置</t>
    </r>
  </si>
  <si>
    <r>
      <rPr>
        <sz val="10"/>
        <rFont val="WenQuanYi Zen Hei"/>
        <family val="2"/>
      </rPr>
      <t xml:space="preserve">グラフ上は</t>
    </r>
    <r>
      <rPr>
        <sz val="10"/>
        <rFont val="Meiryo UI"/>
        <family val="0"/>
        <charset val="1"/>
      </rPr>
      <t xml:space="preserve">W3</t>
    </r>
    <r>
      <rPr>
        <sz val="10"/>
        <rFont val="WenQuanYi Zen Hei"/>
        <family val="2"/>
      </rPr>
      <t xml:space="preserve">、期間（</t>
    </r>
    <r>
      <rPr>
        <sz val="10"/>
        <rFont val="Meiryo UI"/>
        <family val="0"/>
        <charset val="1"/>
      </rPr>
      <t xml:space="preserve">10/1</t>
    </r>
    <r>
      <rPr>
        <sz val="10"/>
        <rFont val="WenQuanYi Zen Hei"/>
        <family val="2"/>
      </rPr>
      <t xml:space="preserve">開始）に基づけば</t>
    </r>
    <r>
      <rPr>
        <sz val="10"/>
        <rFont val="Meiryo UI"/>
        <family val="0"/>
        <charset val="1"/>
      </rPr>
      <t xml:space="preserve">W2</t>
    </r>
    <r>
      <rPr>
        <sz val="10"/>
        <rFont val="WenQuanYi Zen Hei"/>
        <family val="2"/>
      </rPr>
      <t xml:space="preserve">。要確認</t>
    </r>
  </si>
  <si>
    <r>
      <rPr>
        <sz val="10"/>
        <rFont val="WenQuanYi Zen Hei"/>
        <family val="2"/>
      </rPr>
      <t xml:space="preserve">正解</t>
    </r>
    <r>
      <rPr>
        <sz val="10"/>
        <rFont val="Meiryo UI"/>
        <family val="0"/>
        <charset val="1"/>
      </rPr>
      <t xml:space="preserve">W3</t>
    </r>
    <r>
      <rPr>
        <sz val="10"/>
        <rFont val="WenQuanYi Zen Hei"/>
        <family val="2"/>
      </rPr>
      <t xml:space="preserve">を含み、誤りの断定なし（</t>
    </r>
    <r>
      <rPr>
        <sz val="10"/>
        <rFont val="Meiryo UI"/>
        <family val="0"/>
        <charset val="1"/>
      </rPr>
      <t xml:space="preserve">W2</t>
    </r>
    <r>
      <rPr>
        <sz val="10"/>
        <rFont val="WenQuanYi Zen Hei"/>
        <family val="2"/>
      </rPr>
      <t xml:space="preserve">は資料の要確認注記に基づく併記）</t>
    </r>
  </si>
  <si>
    <r>
      <rPr>
        <sz val="11"/>
        <color theme="1"/>
        <rFont val="WenQuanYi Zen Hei"/>
        <family val="2"/>
      </rPr>
      <t xml:space="preserve">資料上の記載は一致していません。
</t>
    </r>
    <r>
      <rPr>
        <sz val="11"/>
        <color theme="1"/>
        <rFont val="Calibri"/>
        <family val="2"/>
        <charset val="1"/>
      </rPr>
      <t xml:space="preserve">- </t>
    </r>
    <r>
      <rPr>
        <sz val="11"/>
        <color theme="1"/>
        <rFont val="WenQuanYi Zen Hei"/>
        <family val="2"/>
      </rPr>
      <t xml:space="preserve">スライド</t>
    </r>
    <r>
      <rPr>
        <sz val="11"/>
        <color theme="1"/>
        <rFont val="Calibri"/>
        <family val="2"/>
        <charset val="1"/>
      </rPr>
      <t xml:space="preserve">4</t>
    </r>
    <r>
      <rPr>
        <sz val="11"/>
        <color theme="1"/>
        <rFont val="WenQuanYi Zen Hei"/>
        <family val="2"/>
      </rPr>
      <t xml:space="preserve">のグラフでは、「キャンペーン開始」を示す赤の破線マーカーが </t>
    </r>
    <r>
      <rPr>
        <sz val="11"/>
        <color theme="1"/>
        <rFont val="Calibri"/>
        <family val="2"/>
        <charset val="1"/>
      </rPr>
      <t xml:space="preserve">**W3** </t>
    </r>
    <r>
      <rPr>
        <sz val="11"/>
        <color theme="1"/>
        <rFont val="WenQuanYi Zen Hei"/>
        <family val="2"/>
      </rPr>
      <t xml:space="preserve">の位置に引かれています。
</t>
    </r>
    <r>
      <rPr>
        <sz val="11"/>
        <color theme="1"/>
        <rFont val="Calibri"/>
        <family val="2"/>
        <charset val="1"/>
      </rPr>
      <t xml:space="preserve">- </t>
    </r>
    <r>
      <rPr>
        <sz val="11"/>
        <color theme="1"/>
        <rFont val="WenQuanYi Zen Hei"/>
        <family val="2"/>
      </rPr>
      <t xml:space="preserve">一方、注記では「</t>
    </r>
    <r>
      <rPr>
        <sz val="11"/>
        <color theme="1"/>
        <rFont val="Calibri"/>
        <family val="2"/>
        <charset val="1"/>
      </rPr>
      <t xml:space="preserve">W1</t>
    </r>
    <r>
      <rPr>
        <sz val="11"/>
        <color theme="1"/>
        <rFont val="WenQuanYi Zen Hei"/>
        <family val="2"/>
      </rPr>
      <t xml:space="preserve">は</t>
    </r>
    <r>
      <rPr>
        <sz val="11"/>
        <color theme="1"/>
        <rFont val="Calibri"/>
        <family val="2"/>
        <charset val="1"/>
      </rPr>
      <t xml:space="preserve">9</t>
    </r>
    <r>
      <rPr>
        <sz val="11"/>
        <color theme="1"/>
        <rFont val="WenQuanYi Zen Hei"/>
        <family val="2"/>
      </rPr>
      <t xml:space="preserve">月第</t>
    </r>
    <r>
      <rPr>
        <sz val="11"/>
        <color theme="1"/>
        <rFont val="Calibri"/>
        <family val="2"/>
        <charset val="1"/>
      </rPr>
      <t xml:space="preserve">4</t>
    </r>
    <r>
      <rPr>
        <sz val="11"/>
        <color theme="1"/>
        <rFont val="WenQuanYi Zen Hei"/>
        <family val="2"/>
      </rPr>
      <t xml:space="preserve">週（</t>
    </r>
    <r>
      <rPr>
        <sz val="11"/>
        <color theme="1"/>
        <rFont val="Calibri"/>
        <family val="2"/>
        <charset val="1"/>
      </rPr>
      <t xml:space="preserve">10</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日を含む週を</t>
    </r>
    <r>
      <rPr>
        <sz val="11"/>
        <color theme="1"/>
        <rFont val="Calibri"/>
        <family val="2"/>
        <charset val="1"/>
      </rPr>
      <t xml:space="preserve">W2</t>
    </r>
    <r>
      <rPr>
        <sz val="11"/>
        <color theme="1"/>
        <rFont val="WenQuanYi Zen Hei"/>
        <family val="2"/>
      </rPr>
      <t xml:space="preserve">とする）」とされており、キャンペーン期間（</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10</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日開始）に従えば開始週は </t>
    </r>
    <r>
      <rPr>
        <sz val="11"/>
        <color theme="1"/>
        <rFont val="Calibri"/>
        <family val="2"/>
        <charset val="1"/>
      </rPr>
      <t xml:space="preserve">**W2** </t>
    </r>
    <r>
      <rPr>
        <sz val="11"/>
        <color theme="1"/>
        <rFont val="WenQuanYi Zen Hei"/>
        <family val="2"/>
      </rPr>
      <t xml:space="preserve">になります。
資料自体にも「※要確認」として、開始線が</t>
    </r>
    <r>
      <rPr>
        <sz val="11"/>
        <color theme="1"/>
        <rFont val="Calibri"/>
        <family val="2"/>
        <charset val="1"/>
      </rPr>
      <t xml:space="preserve">W3</t>
    </r>
    <r>
      <rPr>
        <sz val="11"/>
        <color theme="1"/>
        <rFont val="WenQuanYi Zen Hei"/>
        <family val="2"/>
      </rPr>
      <t xml:space="preserve">に引かれているのはインフルエンサー起用開始（</t>
    </r>
    <r>
      <rPr>
        <sz val="11"/>
        <color theme="1"/>
        <rFont val="Calibri"/>
        <family val="2"/>
        <charset val="1"/>
      </rPr>
      <t xml:space="preserve">10/5</t>
    </r>
    <r>
      <rPr>
        <sz val="11"/>
        <color theme="1"/>
        <rFont val="WenQuanYi Zen Hei"/>
        <family val="2"/>
      </rPr>
      <t xml:space="preserve">〜）の週に相当する可能性がある、と注記されています（週の起算曜日は資料に記載なし）。
まとめると、グラフの表示上は</t>
    </r>
    <r>
      <rPr>
        <sz val="11"/>
        <color theme="1"/>
        <rFont val="Calibri"/>
        <family val="2"/>
        <charset val="1"/>
      </rPr>
      <t xml:space="preserve">W3</t>
    </r>
    <r>
      <rPr>
        <sz val="11"/>
        <color theme="1"/>
        <rFont val="WenQuanYi Zen Hei"/>
        <family val="2"/>
      </rPr>
      <t xml:space="preserve">、キャンペーン期間（</t>
    </r>
    <r>
      <rPr>
        <sz val="11"/>
        <color theme="1"/>
        <rFont val="Calibri"/>
        <family val="2"/>
        <charset val="1"/>
      </rPr>
      <t xml:space="preserve">10</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日開始）に基づけば</t>
    </r>
    <r>
      <rPr>
        <sz val="11"/>
        <color theme="1"/>
        <rFont val="Calibri"/>
        <family val="2"/>
        <charset val="1"/>
      </rPr>
      <t xml:space="preserve">W2</t>
    </r>
    <r>
      <rPr>
        <sz val="11"/>
        <color theme="1"/>
        <rFont val="WenQuanYi Zen Hei"/>
        <family val="2"/>
      </rPr>
      <t xml:space="preserve">です。どちらが正しいかは作成部署への確認が必要です。</t>
    </r>
  </si>
  <si>
    <t xml:space="preserve">08-09</t>
  </si>
  <si>
    <r>
      <rPr>
        <sz val="10"/>
        <rFont val="Meiryo UI"/>
        <family val="0"/>
        <charset val="1"/>
      </rPr>
      <t xml:space="preserve">KPI</t>
    </r>
    <r>
      <rPr>
        <sz val="10"/>
        <rFont val="WenQuanYi Zen Hei"/>
        <family val="2"/>
      </rPr>
      <t xml:space="preserve">の判定で目標を達成したチャネルはどれですか？</t>
    </r>
  </si>
  <si>
    <t xml:space="preserve">検索のみ</t>
  </si>
  <si>
    <r>
      <rPr>
        <sz val="10"/>
        <rFont val="WenQuanYi Zen Hei"/>
        <family val="2"/>
      </rPr>
      <t xml:space="preserve">【結合セル】</t>
    </r>
    <r>
      <rPr>
        <sz val="10"/>
        <rFont val="Noto Sans CJK SC"/>
        <family val="2"/>
        <charset val="1"/>
      </rPr>
      <t xml:space="preserve">P5 2</t>
    </r>
    <r>
      <rPr>
        <sz val="10"/>
        <rFont val="WenQuanYi Zen Hei"/>
        <family val="2"/>
      </rPr>
      <t xml:space="preserve">段見出しの表</t>
    </r>
  </si>
  <si>
    <r>
      <rPr>
        <sz val="11"/>
        <color theme="1"/>
        <rFont val="Calibri"/>
        <family val="2"/>
        <charset val="1"/>
      </rPr>
      <t xml:space="preserve">KPI</t>
    </r>
    <r>
      <rPr>
        <sz val="11"/>
        <color theme="1"/>
        <rFont val="WenQuanYi Zen Hei"/>
        <family val="2"/>
      </rPr>
      <t xml:space="preserve">の判定で目標を達成した（判定「○」）のは検索広告のみです。
</t>
    </r>
    <r>
      <rPr>
        <sz val="11"/>
        <color theme="1"/>
        <rFont val="Calibri"/>
        <family val="2"/>
        <charset val="1"/>
      </rPr>
      <t xml:space="preserve">- </t>
    </r>
    <r>
      <rPr>
        <sz val="11"/>
        <color theme="1"/>
        <rFont val="WenQuanYi Zen Hei"/>
        <family val="2"/>
      </rPr>
      <t xml:space="preserve">検索：目標</t>
    </r>
    <r>
      <rPr>
        <sz val="11"/>
        <color theme="1"/>
        <rFont val="Calibri"/>
        <family val="2"/>
        <charset val="1"/>
      </rPr>
      <t xml:space="preserve">CPA 3,000</t>
    </r>
    <r>
      <rPr>
        <sz val="11"/>
        <color theme="1"/>
        <rFont val="WenQuanYi Zen Hei"/>
        <family val="2"/>
      </rPr>
      <t xml:space="preserve">円以下 → 実績</t>
    </r>
    <r>
      <rPr>
        <sz val="11"/>
        <color theme="1"/>
        <rFont val="Calibri"/>
        <family val="2"/>
        <charset val="1"/>
      </rPr>
      <t xml:space="preserve">2,800</t>
    </r>
    <r>
      <rPr>
        <sz val="11"/>
        <color theme="1"/>
        <rFont val="WenQuanYi Zen Hei"/>
        <family val="2"/>
      </rPr>
      <t xml:space="preserve">円、目標購入数</t>
    </r>
    <r>
      <rPr>
        <sz val="11"/>
        <color theme="1"/>
        <rFont val="Calibri"/>
        <family val="2"/>
        <charset val="1"/>
      </rPr>
      <t xml:space="preserve">400</t>
    </r>
    <r>
      <rPr>
        <sz val="11"/>
        <color theme="1"/>
        <rFont val="WenQuanYi Zen Hei"/>
        <family val="2"/>
      </rPr>
      <t xml:space="preserve">件以上 → 実績</t>
    </r>
    <r>
      <rPr>
        <sz val="11"/>
        <color theme="1"/>
        <rFont val="Calibri"/>
        <family val="2"/>
        <charset val="1"/>
      </rPr>
      <t xml:space="preserve">450</t>
    </r>
    <r>
      <rPr>
        <sz val="11"/>
        <color theme="1"/>
        <rFont val="WenQuanYi Zen Hei"/>
        <family val="2"/>
      </rPr>
      <t xml:space="preserve">件 → ○
判定基準は「</t>
    </r>
    <r>
      <rPr>
        <sz val="11"/>
        <color theme="1"/>
        <rFont val="Calibri"/>
        <family val="2"/>
        <charset val="1"/>
      </rPr>
      <t xml:space="preserve">CPA</t>
    </r>
    <r>
      <rPr>
        <sz val="11"/>
        <color theme="1"/>
        <rFont val="WenQuanYi Zen Hei"/>
        <family val="2"/>
      </rPr>
      <t xml:space="preserve">が目標以下、かつ購入数が目標以上」で、他のチャネルは</t>
    </r>
    <r>
      <rPr>
        <sz val="11"/>
        <color theme="1"/>
        <rFont val="Calibri"/>
        <family val="2"/>
        <charset val="1"/>
      </rPr>
      <t xml:space="preserve">×</t>
    </r>
    <r>
      <rPr>
        <sz val="11"/>
        <color theme="1"/>
        <rFont val="WenQuanYi Zen Hei"/>
        <family val="2"/>
      </rPr>
      <t xml:space="preserve">です。
</t>
    </r>
    <r>
      <rPr>
        <sz val="11"/>
        <color theme="1"/>
        <rFont val="Calibri"/>
        <family val="2"/>
        <charset val="1"/>
      </rPr>
      <t xml:space="preserve">- SNS</t>
    </r>
    <r>
      <rPr>
        <sz val="11"/>
        <color theme="1"/>
        <rFont val="WenQuanYi Zen Hei"/>
        <family val="2"/>
      </rPr>
      <t xml:space="preserve">：</t>
    </r>
    <r>
      <rPr>
        <sz val="11"/>
        <color theme="1"/>
        <rFont val="Calibri"/>
        <family val="2"/>
        <charset val="1"/>
      </rPr>
      <t xml:space="preserve">CPA 4,100</t>
    </r>
    <r>
      <rPr>
        <sz val="11"/>
        <color theme="1"/>
        <rFont val="WenQuanYi Zen Hei"/>
        <family val="2"/>
      </rPr>
      <t xml:space="preserve">円（目標</t>
    </r>
    <r>
      <rPr>
        <sz val="11"/>
        <color theme="1"/>
        <rFont val="Calibri"/>
        <family val="2"/>
        <charset val="1"/>
      </rPr>
      <t xml:space="preserve">3,500</t>
    </r>
    <r>
      <rPr>
        <sz val="11"/>
        <color theme="1"/>
        <rFont val="WenQuanYi Zen Hei"/>
        <family val="2"/>
      </rPr>
      <t xml:space="preserve">円）、購入</t>
    </r>
    <r>
      <rPr>
        <sz val="11"/>
        <color theme="1"/>
        <rFont val="Calibri"/>
        <family val="2"/>
        <charset val="1"/>
      </rPr>
      <t xml:space="preserve">300</t>
    </r>
    <r>
      <rPr>
        <sz val="11"/>
        <color theme="1"/>
        <rFont val="WenQuanYi Zen Hei"/>
        <family val="2"/>
      </rPr>
      <t xml:space="preserve">件（目標</t>
    </r>
    <r>
      <rPr>
        <sz val="11"/>
        <color theme="1"/>
        <rFont val="Calibri"/>
        <family val="2"/>
        <charset val="1"/>
      </rPr>
      <t xml:space="preserve">350</t>
    </r>
    <r>
      <rPr>
        <sz val="11"/>
        <color theme="1"/>
        <rFont val="WenQuanYi Zen Hei"/>
        <family val="2"/>
      </rPr>
      <t xml:space="preserve">件）→ どちらも未達
</t>
    </r>
    <r>
      <rPr>
        <sz val="11"/>
        <color theme="1"/>
        <rFont val="Calibri"/>
        <family val="2"/>
        <charset val="1"/>
      </rPr>
      <t xml:space="preserve">- </t>
    </r>
    <r>
      <rPr>
        <sz val="11"/>
        <color theme="1"/>
        <rFont val="WenQuanYi Zen Hei"/>
        <family val="2"/>
      </rPr>
      <t xml:space="preserve">動画：</t>
    </r>
    <r>
      <rPr>
        <sz val="11"/>
        <color theme="1"/>
        <rFont val="Calibri"/>
        <family val="2"/>
        <charset val="1"/>
      </rPr>
      <t xml:space="preserve">CPA 6,500</t>
    </r>
    <r>
      <rPr>
        <sz val="11"/>
        <color theme="1"/>
        <rFont val="WenQuanYi Zen Hei"/>
        <family val="2"/>
      </rPr>
      <t xml:space="preserve">円（目標</t>
    </r>
    <r>
      <rPr>
        <sz val="11"/>
        <color theme="1"/>
        <rFont val="Calibri"/>
        <family val="2"/>
        <charset val="1"/>
      </rPr>
      <t xml:space="preserve">5,000</t>
    </r>
    <r>
      <rPr>
        <sz val="11"/>
        <color theme="1"/>
        <rFont val="WenQuanYi Zen Hei"/>
        <family val="2"/>
      </rPr>
      <t xml:space="preserve">円）、購入</t>
    </r>
    <r>
      <rPr>
        <sz val="11"/>
        <color theme="1"/>
        <rFont val="Calibri"/>
        <family val="2"/>
        <charset val="1"/>
      </rPr>
      <t xml:space="preserve">200</t>
    </r>
    <r>
      <rPr>
        <sz val="11"/>
        <color theme="1"/>
        <rFont val="WenQuanYi Zen Hei"/>
        <family val="2"/>
      </rPr>
      <t xml:space="preserve">件（目標</t>
    </r>
    <r>
      <rPr>
        <sz val="11"/>
        <color theme="1"/>
        <rFont val="Calibri"/>
        <family val="2"/>
        <charset val="1"/>
      </rPr>
      <t xml:space="preserve">250</t>
    </r>
    <r>
      <rPr>
        <sz val="11"/>
        <color theme="1"/>
        <rFont val="WenQuanYi Zen Hei"/>
        <family val="2"/>
      </rPr>
      <t xml:space="preserve">件）→ どちらも未達
</t>
    </r>
    <r>
      <rPr>
        <sz val="11"/>
        <color theme="1"/>
        <rFont val="Calibri"/>
        <family val="2"/>
        <charset val="1"/>
      </rPr>
      <t xml:space="preserve">- </t>
    </r>
    <r>
      <rPr>
        <sz val="11"/>
        <color theme="1"/>
        <rFont val="WenQuanYi Zen Hei"/>
        <family val="2"/>
      </rPr>
      <t xml:space="preserve">ディスプレイ：購入</t>
    </r>
    <r>
      <rPr>
        <sz val="11"/>
        <color theme="1"/>
        <rFont val="Calibri"/>
        <family val="2"/>
        <charset val="1"/>
      </rPr>
      <t xml:space="preserve">130</t>
    </r>
    <r>
      <rPr>
        <sz val="11"/>
        <color theme="1"/>
        <rFont val="WenQuanYi Zen Hei"/>
        <family val="2"/>
      </rPr>
      <t xml:space="preserve">件は目標</t>
    </r>
    <r>
      <rPr>
        <sz val="11"/>
        <color theme="1"/>
        <rFont val="Calibri"/>
        <family val="2"/>
        <charset val="1"/>
      </rPr>
      <t xml:space="preserve">120</t>
    </r>
    <r>
      <rPr>
        <sz val="11"/>
        <color theme="1"/>
        <rFont val="WenQuanYi Zen Hei"/>
        <family val="2"/>
      </rPr>
      <t xml:space="preserve">件を上回ったものの、</t>
    </r>
    <r>
      <rPr>
        <sz val="11"/>
        <color theme="1"/>
        <rFont val="Calibri"/>
        <family val="2"/>
        <charset val="1"/>
      </rPr>
      <t xml:space="preserve">CPA 5,200</t>
    </r>
    <r>
      <rPr>
        <sz val="11"/>
        <color theme="1"/>
        <rFont val="WenQuanYi Zen Hei"/>
        <family val="2"/>
      </rPr>
      <t xml:space="preserve">円が目標</t>
    </r>
    <r>
      <rPr>
        <sz val="11"/>
        <color theme="1"/>
        <rFont val="Calibri"/>
        <family val="2"/>
        <charset val="1"/>
      </rPr>
      <t xml:space="preserve">5,000</t>
    </r>
    <r>
      <rPr>
        <sz val="11"/>
        <color theme="1"/>
        <rFont val="WenQuanYi Zen Hei"/>
        <family val="2"/>
      </rPr>
      <t xml:space="preserve">円を超えたため</t>
    </r>
    <r>
      <rPr>
        <sz val="11"/>
        <color theme="1"/>
        <rFont val="Calibri"/>
        <family val="2"/>
        <charset val="1"/>
      </rPr>
      <t xml:space="preserve">×
</t>
    </r>
    <r>
      <rPr>
        <sz val="11"/>
        <color theme="1"/>
        <rFont val="WenQuanYi Zen Hei"/>
        <family val="2"/>
      </rPr>
      <t xml:space="preserve">なお、全体の購入数</t>
    </r>
    <r>
      <rPr>
        <sz val="11"/>
        <color theme="1"/>
        <rFont val="Calibri"/>
        <family val="2"/>
        <charset val="1"/>
      </rPr>
      <t xml:space="preserve">1,080</t>
    </r>
    <r>
      <rPr>
        <sz val="11"/>
        <color theme="1"/>
        <rFont val="WenQuanYi Zen Hei"/>
        <family val="2"/>
      </rPr>
      <t xml:space="preserve">件は目標</t>
    </r>
    <r>
      <rPr>
        <sz val="11"/>
        <color theme="1"/>
        <rFont val="Calibri"/>
        <family val="2"/>
        <charset val="1"/>
      </rPr>
      <t xml:space="preserve">1,120</t>
    </r>
    <r>
      <rPr>
        <sz val="11"/>
        <color theme="1"/>
        <rFont val="WenQuanYi Zen Hei"/>
        <family val="2"/>
      </rPr>
      <t xml:space="preserve">件に届いていません（数値はすべて確定前の速報値です）。</t>
    </r>
  </si>
  <si>
    <t xml:space="preserve">08-10</t>
  </si>
  <si>
    <r>
      <rPr>
        <sz val="10"/>
        <rFont val="WenQuanYi Zen Hei"/>
        <family val="2"/>
      </rPr>
      <t xml:space="preserve">全体の購入数は、目標に対して何％達成しましたか？小数第</t>
    </r>
    <r>
      <rPr>
        <sz val="10"/>
        <rFont val="Noto Sans CJK SC"/>
        <family val="2"/>
        <charset val="1"/>
      </rPr>
      <t xml:space="preserve">1</t>
    </r>
    <r>
      <rPr>
        <sz val="10"/>
        <rFont val="WenQuanYi Zen Hei"/>
        <family val="2"/>
      </rPr>
      <t xml:space="preserve">位まで答えてください。</t>
    </r>
  </si>
  <si>
    <r>
      <rPr>
        <sz val="10"/>
        <rFont val="Meiryo UI"/>
        <family val="0"/>
        <charset val="1"/>
      </rPr>
      <t xml:space="preserve">96.4%</t>
    </r>
    <r>
      <rPr>
        <sz val="10"/>
        <rFont val="WenQuanYi Zen Hei"/>
        <family val="2"/>
      </rPr>
      <t xml:space="preserve">（</t>
    </r>
    <r>
      <rPr>
        <sz val="10"/>
        <rFont val="Meiryo UI"/>
        <family val="0"/>
        <charset val="1"/>
      </rPr>
      <t xml:space="preserve">1,080÷1,120</t>
    </r>
    <r>
      <rPr>
        <sz val="10"/>
        <rFont val="WenQuanYi Zen Hei"/>
        <family val="2"/>
      </rPr>
      <t xml:space="preserve">）</t>
    </r>
  </si>
  <si>
    <r>
      <rPr>
        <sz val="10"/>
        <rFont val="WenQuanYi Zen Hei"/>
        <family val="2"/>
      </rPr>
      <t xml:space="preserve">【計算】</t>
    </r>
    <r>
      <rPr>
        <sz val="10"/>
        <rFont val="Noto Sans CJK SC"/>
        <family val="2"/>
        <charset val="1"/>
      </rPr>
      <t xml:space="preserve">P5 </t>
    </r>
    <r>
      <rPr>
        <sz val="10"/>
        <rFont val="WenQuanYi Zen Hei"/>
        <family val="2"/>
      </rPr>
      <t xml:space="preserve">表</t>
    </r>
  </si>
  <si>
    <r>
      <rPr>
        <sz val="10"/>
        <rFont val="WenQuanYi Zen Hei"/>
        <family val="2"/>
      </rPr>
      <t xml:space="preserve">約</t>
    </r>
    <r>
      <rPr>
        <sz val="10"/>
        <rFont val="Meiryo UI"/>
        <family val="0"/>
        <charset val="1"/>
      </rPr>
      <t xml:space="preserve">96.4%</t>
    </r>
  </si>
  <si>
    <r>
      <rPr>
        <sz val="11"/>
        <color theme="1"/>
        <rFont val="WenQuanYi Zen Hei"/>
        <family val="2"/>
      </rPr>
      <t xml:space="preserve">全体の購入数は実績</t>
    </r>
    <r>
      <rPr>
        <sz val="11"/>
        <color theme="1"/>
        <rFont val="Calibri"/>
        <family val="2"/>
        <charset val="1"/>
      </rPr>
      <t xml:space="preserve">1,080</t>
    </r>
    <r>
      <rPr>
        <sz val="11"/>
        <color theme="1"/>
        <rFont val="WenQuanYi Zen Hei"/>
        <family val="2"/>
      </rPr>
      <t xml:space="preserve">件、目標</t>
    </r>
    <r>
      <rPr>
        <sz val="11"/>
        <color theme="1"/>
        <rFont val="Calibri"/>
        <family val="2"/>
        <charset val="1"/>
      </rPr>
      <t xml:space="preserve">1,120</t>
    </r>
    <r>
      <rPr>
        <sz val="11"/>
        <color theme="1"/>
        <rFont val="WenQuanYi Zen Hei"/>
        <family val="2"/>
      </rPr>
      <t xml:space="preserve">件で、達成率は約</t>
    </r>
    <r>
      <rPr>
        <sz val="11"/>
        <color theme="1"/>
        <rFont val="Calibri"/>
        <family val="2"/>
        <charset val="1"/>
      </rPr>
      <t xml:space="preserve">96.4</t>
    </r>
    <r>
      <rPr>
        <sz val="11"/>
        <color theme="1"/>
        <rFont val="WenQuanYi Zen Hei"/>
        <family val="2"/>
      </rPr>
      <t xml:space="preserve">％です（</t>
    </r>
    <r>
      <rPr>
        <sz val="11"/>
        <color theme="1"/>
        <rFont val="Calibri"/>
        <family val="2"/>
        <charset val="1"/>
      </rPr>
      <t xml:space="preserve">1,080÷1,120</t>
    </r>
    <r>
      <rPr>
        <sz val="11"/>
        <color theme="1"/>
        <rFont val="WenQuanYi Zen Hei"/>
        <family val="2"/>
      </rPr>
      <t xml:space="preserve">＝</t>
    </r>
    <r>
      <rPr>
        <sz val="11"/>
        <color theme="1"/>
        <rFont val="Calibri"/>
        <family val="2"/>
        <charset val="1"/>
      </rPr>
      <t xml:space="preserve">0.9643</t>
    </r>
    <r>
      <rPr>
        <sz val="11"/>
        <color theme="1"/>
        <rFont val="WenQuanYi Zen Hei"/>
        <family val="2"/>
      </rPr>
      <t xml:space="preserve">）。目標には届いていません。
※資料の数値は確定前の速報値です。</t>
    </r>
  </si>
  <si>
    <t xml:space="preserve">08-11</t>
  </si>
  <si>
    <t xml:space="preserve">リピート率が最も高い年代と、その値を答えてください。</t>
  </si>
  <si>
    <r>
      <rPr>
        <sz val="10"/>
        <rFont val="Meiryo UI"/>
        <family val="0"/>
        <charset val="1"/>
      </rPr>
      <t xml:space="preserve">50</t>
    </r>
    <r>
      <rPr>
        <sz val="10"/>
        <rFont val="WenQuanYi Zen Hei"/>
        <family val="2"/>
      </rPr>
      <t xml:space="preserve">代以上、</t>
    </r>
    <r>
      <rPr>
        <sz val="10"/>
        <rFont val="Meiryo UI"/>
        <family val="0"/>
        <charset val="1"/>
      </rPr>
      <t xml:space="preserve">41%</t>
    </r>
  </si>
  <si>
    <r>
      <rPr>
        <sz val="10"/>
        <rFont val="WenQuanYi Zen Hei"/>
        <family val="2"/>
      </rPr>
      <t xml:space="preserve">【散布図】</t>
    </r>
    <r>
      <rPr>
        <sz val="10"/>
        <rFont val="Noto Sans CJK SC"/>
        <family val="2"/>
        <charset val="1"/>
      </rPr>
      <t xml:space="preserve">P6 </t>
    </r>
    <r>
      <rPr>
        <sz val="10"/>
        <rFont val="WenQuanYi Zen Hei"/>
        <family val="2"/>
      </rPr>
      <t xml:space="preserve">散布図（数値ラベルなし）</t>
    </r>
  </si>
  <si>
    <r>
      <rPr>
        <sz val="11"/>
        <color theme="1"/>
        <rFont val="WenQuanYi Zen Hei"/>
        <family val="2"/>
      </rPr>
      <t xml:space="preserve">リピート率が最も高い年代は「</t>
    </r>
    <r>
      <rPr>
        <sz val="11"/>
        <color theme="1"/>
        <rFont val="Calibri"/>
        <family val="2"/>
        <charset val="1"/>
      </rPr>
      <t xml:space="preserve">50</t>
    </r>
    <r>
      <rPr>
        <sz val="11"/>
        <color theme="1"/>
        <rFont val="WenQuanYi Zen Hei"/>
        <family val="2"/>
      </rPr>
      <t xml:space="preserve">代以上」で、その値は</t>
    </r>
    <r>
      <rPr>
        <sz val="11"/>
        <color theme="1"/>
        <rFont val="Calibri"/>
        <family val="2"/>
        <charset val="1"/>
      </rPr>
      <t xml:space="preserve">41%</t>
    </r>
    <r>
      <rPr>
        <sz val="11"/>
        <color theme="1"/>
        <rFont val="WenQuanYi Zen Hei"/>
        <family val="2"/>
      </rPr>
      <t xml:space="preserve">です（スライド</t>
    </r>
    <r>
      <rPr>
        <sz val="11"/>
        <color theme="1"/>
        <rFont val="Calibri"/>
        <family val="2"/>
        <charset val="1"/>
      </rPr>
      <t xml:space="preserve">6</t>
    </r>
    <r>
      <rPr>
        <sz val="11"/>
        <color theme="1"/>
        <rFont val="WenQuanYi Zen Hei"/>
        <family val="2"/>
      </rPr>
      <t xml:space="preserve">「年代別の購入傾向」の散布図データより）。</t>
    </r>
  </si>
  <si>
    <t xml:space="preserve">08-12</t>
  </si>
  <si>
    <r>
      <rPr>
        <sz val="10"/>
        <rFont val="WenQuanYi Zen Hei"/>
        <family val="2"/>
      </rPr>
      <t xml:space="preserve">平均購入単価が</t>
    </r>
    <r>
      <rPr>
        <sz val="10"/>
        <rFont val="Noto Sans CJK SC"/>
        <family val="2"/>
        <charset val="1"/>
      </rPr>
      <t xml:space="preserve">5,000</t>
    </r>
    <r>
      <rPr>
        <sz val="10"/>
        <rFont val="WenQuanYi Zen Hei"/>
        <family val="2"/>
      </rPr>
      <t xml:space="preserve">円未満の年代はどれですか？</t>
    </r>
  </si>
  <si>
    <r>
      <rPr>
        <sz val="10"/>
        <rFont val="Meiryo UI"/>
        <family val="0"/>
        <charset val="1"/>
      </rPr>
      <t xml:space="preserve">20</t>
    </r>
    <r>
      <rPr>
        <sz val="10"/>
        <rFont val="WenQuanYi Zen Hei"/>
        <family val="2"/>
      </rPr>
      <t xml:space="preserve">代（</t>
    </r>
    <r>
      <rPr>
        <sz val="10"/>
        <rFont val="Meiryo UI"/>
        <family val="0"/>
        <charset val="1"/>
      </rPr>
      <t xml:space="preserve">3,800</t>
    </r>
    <r>
      <rPr>
        <sz val="10"/>
        <rFont val="WenQuanYi Zen Hei"/>
        <family val="2"/>
      </rPr>
      <t xml:space="preserve">円）</t>
    </r>
  </si>
  <si>
    <r>
      <rPr>
        <sz val="10"/>
        <rFont val="WenQuanYi Zen Hei"/>
        <family val="2"/>
      </rPr>
      <t xml:space="preserve">【散布図】</t>
    </r>
    <r>
      <rPr>
        <sz val="10"/>
        <rFont val="Noto Sans CJK SC"/>
        <family val="2"/>
        <charset val="1"/>
      </rPr>
      <t xml:space="preserve">P6 </t>
    </r>
    <r>
      <rPr>
        <sz val="10"/>
        <rFont val="WenQuanYi Zen Hei"/>
        <family val="2"/>
      </rPr>
      <t xml:space="preserve">散布図</t>
    </r>
  </si>
  <si>
    <r>
      <rPr>
        <sz val="11"/>
        <color theme="1"/>
        <rFont val="WenQuanYi Zen Hei"/>
        <family val="2"/>
      </rPr>
      <t xml:space="preserve">平均購入単価が</t>
    </r>
    <r>
      <rPr>
        <sz val="11"/>
        <color theme="1"/>
        <rFont val="Calibri"/>
        <family val="2"/>
        <charset val="1"/>
      </rPr>
      <t xml:space="preserve">5,000</t>
    </r>
    <r>
      <rPr>
        <sz val="11"/>
        <color theme="1"/>
        <rFont val="WenQuanYi Zen Hei"/>
        <family val="2"/>
      </rPr>
      <t xml:space="preserve">円未満の年代は「</t>
    </r>
    <r>
      <rPr>
        <sz val="11"/>
        <color theme="1"/>
        <rFont val="Calibri"/>
        <family val="2"/>
        <charset val="1"/>
      </rPr>
      <t xml:space="preserve">20</t>
    </r>
    <r>
      <rPr>
        <sz val="11"/>
        <color theme="1"/>
        <rFont val="WenQuanYi Zen Hei"/>
        <family val="2"/>
      </rPr>
      <t xml:space="preserve">代」です（平均購入単価</t>
    </r>
    <r>
      <rPr>
        <sz val="11"/>
        <color theme="1"/>
        <rFont val="Calibri"/>
        <family val="2"/>
        <charset val="1"/>
      </rPr>
      <t xml:space="preserve">3,800</t>
    </r>
    <r>
      <rPr>
        <sz val="11"/>
        <color theme="1"/>
        <rFont val="WenQuanYi Zen Hei"/>
        <family val="2"/>
      </rPr>
      <t xml:space="preserve">円）。
※</t>
    </r>
    <r>
      <rPr>
        <sz val="11"/>
        <color theme="1"/>
        <rFont val="Calibri"/>
        <family val="2"/>
        <charset val="1"/>
      </rPr>
      <t xml:space="preserve">30</t>
    </r>
    <r>
      <rPr>
        <sz val="11"/>
        <color theme="1"/>
        <rFont val="WenQuanYi Zen Hei"/>
        <family val="2"/>
      </rPr>
      <t xml:space="preserve">代は</t>
    </r>
    <r>
      <rPr>
        <sz val="11"/>
        <color theme="1"/>
        <rFont val="Calibri"/>
        <family val="2"/>
        <charset val="1"/>
      </rPr>
      <t xml:space="preserve">5,200</t>
    </r>
    <r>
      <rPr>
        <sz val="11"/>
        <color theme="1"/>
        <rFont val="WenQuanYi Zen Hei"/>
        <family val="2"/>
      </rPr>
      <t xml:space="preserve">円、</t>
    </r>
    <r>
      <rPr>
        <sz val="11"/>
        <color theme="1"/>
        <rFont val="Calibri"/>
        <family val="2"/>
        <charset val="1"/>
      </rPr>
      <t xml:space="preserve">40</t>
    </r>
    <r>
      <rPr>
        <sz val="11"/>
        <color theme="1"/>
        <rFont val="WenQuanYi Zen Hei"/>
        <family val="2"/>
      </rPr>
      <t xml:space="preserve">代は</t>
    </r>
    <r>
      <rPr>
        <sz val="11"/>
        <color theme="1"/>
        <rFont val="Calibri"/>
        <family val="2"/>
        <charset val="1"/>
      </rPr>
      <t xml:space="preserve">6,900</t>
    </r>
    <r>
      <rPr>
        <sz val="11"/>
        <color theme="1"/>
        <rFont val="WenQuanYi Zen Hei"/>
        <family val="2"/>
      </rPr>
      <t xml:space="preserve">円、</t>
    </r>
    <r>
      <rPr>
        <sz val="11"/>
        <color theme="1"/>
        <rFont val="Calibri"/>
        <family val="2"/>
        <charset val="1"/>
      </rPr>
      <t xml:space="preserve">50</t>
    </r>
    <r>
      <rPr>
        <sz val="11"/>
        <color theme="1"/>
        <rFont val="WenQuanYi Zen Hei"/>
        <family val="2"/>
      </rPr>
      <t xml:space="preserve">代以上は</t>
    </r>
    <r>
      <rPr>
        <sz val="11"/>
        <color theme="1"/>
        <rFont val="Calibri"/>
        <family val="2"/>
        <charset val="1"/>
      </rPr>
      <t xml:space="preserve">7,400</t>
    </r>
    <r>
      <rPr>
        <sz val="11"/>
        <color theme="1"/>
        <rFont val="WenQuanYi Zen Hei"/>
        <family val="2"/>
      </rPr>
      <t xml:space="preserve">円で、いずれも</t>
    </r>
    <r>
      <rPr>
        <sz val="11"/>
        <color theme="1"/>
        <rFont val="Calibri"/>
        <family val="2"/>
        <charset val="1"/>
      </rPr>
      <t xml:space="preserve">5,000</t>
    </r>
    <r>
      <rPr>
        <sz val="11"/>
        <color theme="1"/>
        <rFont val="WenQuanYi Zen Hei"/>
        <family val="2"/>
      </rPr>
      <t xml:space="preserve">円以上です（スライド</t>
    </r>
    <r>
      <rPr>
        <sz val="11"/>
        <color theme="1"/>
        <rFont val="Calibri"/>
        <family val="2"/>
        <charset val="1"/>
      </rPr>
      <t xml:space="preserve">6</t>
    </r>
    <r>
      <rPr>
        <sz val="11"/>
        <color theme="1"/>
        <rFont val="WenQuanYi Zen Hei"/>
        <family val="2"/>
      </rPr>
      <t xml:space="preserve">「年代別の購入傾向」、数値は速報値）。</t>
    </r>
  </si>
  <si>
    <t xml:space="preserve">08-13</t>
  </si>
  <si>
    <t xml:space="preserve">縦書きで掲載されている『顧客の声』の内容を答えてください。</t>
  </si>
  <si>
    <t xml:space="preserve">「香りが長続きして気に入っています」（五十代・女性）</t>
  </si>
  <si>
    <r>
      <rPr>
        <sz val="10"/>
        <rFont val="WenQuanYi Zen Hei"/>
        <family val="2"/>
      </rPr>
      <t xml:space="preserve">【縦書き】</t>
    </r>
    <r>
      <rPr>
        <sz val="10"/>
        <rFont val="Noto Sans CJK SC"/>
        <family val="2"/>
        <charset val="1"/>
      </rPr>
      <t xml:space="preserve">P6 </t>
    </r>
    <r>
      <rPr>
        <sz val="10"/>
        <rFont val="WenQuanYi Zen Hei"/>
        <family val="2"/>
      </rPr>
      <t xml:space="preserve">縦書きテキストボックス</t>
    </r>
  </si>
  <si>
    <r>
      <rPr>
        <sz val="11"/>
        <color theme="1"/>
        <rFont val="WenQuanYi Zen Hei"/>
        <family val="2"/>
      </rPr>
      <t xml:space="preserve">スライド</t>
    </r>
    <r>
      <rPr>
        <sz val="11"/>
        <color theme="1"/>
        <rFont val="Calibri"/>
        <family val="2"/>
        <charset val="1"/>
      </rPr>
      <t xml:space="preserve">6</t>
    </r>
    <r>
      <rPr>
        <sz val="11"/>
        <color theme="1"/>
        <rFont val="WenQuanYi Zen Hei"/>
        <family val="2"/>
      </rPr>
      <t xml:space="preserve">「年代別の購入傾向」に、縦書きの囲み枠で次の顧客の声が載っています。
「香りが長続きして気に入っています」（五十代・女性）
補足：資料の注記にあるとおり、声の主の属性は漢数字で「五十代」と書かれています。グラフの区分は「</t>
    </r>
    <r>
      <rPr>
        <sz val="11"/>
        <color theme="1"/>
        <rFont val="Calibri"/>
        <family val="2"/>
        <charset val="1"/>
      </rPr>
      <t xml:space="preserve">50</t>
    </r>
    <r>
      <rPr>
        <sz val="11"/>
        <color theme="1"/>
        <rFont val="WenQuanYi Zen Hei"/>
        <family val="2"/>
      </rPr>
      <t xml:space="preserve">代以上」なので、表記がそろっていません。</t>
    </r>
  </si>
  <si>
    <t xml:space="preserve">08-14</t>
  </si>
  <si>
    <t xml:space="preserve">クリック率が高かったバナーのキャッチコピーを答えてください。</t>
  </si>
  <si>
    <r>
      <rPr>
        <sz val="10"/>
        <rFont val="WenQuanYi Zen Hei"/>
        <family val="2"/>
      </rPr>
      <t xml:space="preserve">「うるおい、</t>
    </r>
    <r>
      <rPr>
        <sz val="10"/>
        <rFont val="Noto Sans CJK SC"/>
        <family val="2"/>
        <charset val="1"/>
      </rPr>
      <t xml:space="preserve">72</t>
    </r>
    <r>
      <rPr>
        <sz val="10"/>
        <rFont val="WenQuanYi Zen Hei"/>
        <family val="2"/>
      </rPr>
      <t xml:space="preserve">時間。」（バナー</t>
    </r>
    <r>
      <rPr>
        <sz val="10"/>
        <rFont val="Noto Sans CJK SC"/>
        <family val="2"/>
        <charset val="1"/>
      </rPr>
      <t xml:space="preserve">A</t>
    </r>
    <r>
      <rPr>
        <sz val="10"/>
        <rFont val="WenQuanYi Zen Hei"/>
        <family val="2"/>
      </rPr>
      <t xml:space="preserve">、</t>
    </r>
    <r>
      <rPr>
        <sz val="10"/>
        <rFont val="Noto Sans CJK SC"/>
        <family val="2"/>
        <charset val="1"/>
      </rPr>
      <t xml:space="preserve">CTR 3.4%</t>
    </r>
    <r>
      <rPr>
        <sz val="10"/>
        <rFont val="WenQuanYi Zen Hei"/>
        <family val="2"/>
      </rPr>
      <t xml:space="preserve">）</t>
    </r>
  </si>
  <si>
    <r>
      <rPr>
        <sz val="10"/>
        <rFont val="WenQuanYi Zen Hei"/>
        <family val="2"/>
      </rPr>
      <t xml:space="preserve">【画像内文字】</t>
    </r>
    <r>
      <rPr>
        <sz val="10"/>
        <rFont val="Noto Sans CJK SC"/>
        <family val="2"/>
        <charset val="1"/>
      </rPr>
      <t xml:space="preserve">P7 </t>
    </r>
    <r>
      <rPr>
        <sz val="10"/>
        <rFont val="WenQuanYi Zen Hei"/>
        <family val="2"/>
      </rPr>
      <t xml:space="preserve">バナー画像＋表</t>
    </r>
  </si>
  <si>
    <r>
      <rPr>
        <sz val="10"/>
        <rFont val="WenQuanYi Zen Hei"/>
        <family val="2"/>
      </rPr>
      <t xml:space="preserve">「うるおい、</t>
    </r>
    <r>
      <rPr>
        <sz val="10"/>
        <rFont val="Meiryo UI"/>
        <family val="0"/>
        <charset val="1"/>
      </rPr>
      <t xml:space="preserve">72</t>
    </r>
    <r>
      <rPr>
        <sz val="10"/>
        <rFont val="WenQuanYi Zen Hei"/>
        <family val="2"/>
      </rPr>
      <t xml:space="preserve">時間。」（バナー</t>
    </r>
    <r>
      <rPr>
        <sz val="10"/>
        <rFont val="Meiryo UI"/>
        <family val="0"/>
        <charset val="1"/>
      </rPr>
      <t xml:space="preserve">A</t>
    </r>
    <r>
      <rPr>
        <sz val="10"/>
        <rFont val="WenQuanYi Zen Hei"/>
        <family val="2"/>
      </rPr>
      <t xml:space="preserve">、</t>
    </r>
    <r>
      <rPr>
        <sz val="10"/>
        <rFont val="Meiryo UI"/>
        <family val="0"/>
        <charset val="1"/>
      </rPr>
      <t xml:space="preserve">CTR3.4%</t>
    </r>
    <r>
      <rPr>
        <sz val="10"/>
        <rFont val="WenQuanYi Zen Hei"/>
        <family val="2"/>
      </rPr>
      <t xml:space="preserve">）</t>
    </r>
  </si>
  <si>
    <r>
      <rPr>
        <sz val="11"/>
        <color theme="1"/>
        <rFont val="WenQuanYi Zen Hei"/>
        <family val="2"/>
      </rPr>
      <t xml:space="preserve">クリック率が高かったのはバナー</t>
    </r>
    <r>
      <rPr>
        <sz val="11"/>
        <color theme="1"/>
        <rFont val="Calibri"/>
        <family val="2"/>
        <charset val="1"/>
      </rPr>
      <t xml:space="preserve">A</t>
    </r>
    <r>
      <rPr>
        <sz val="11"/>
        <color theme="1"/>
        <rFont val="WenQuanYi Zen Hei"/>
        <family val="2"/>
      </rPr>
      <t xml:space="preserve">（</t>
    </r>
    <r>
      <rPr>
        <sz val="11"/>
        <color theme="1"/>
        <rFont val="Calibri"/>
        <family val="2"/>
        <charset val="1"/>
      </rPr>
      <t xml:space="preserve">CTR 3.4%</t>
    </r>
    <r>
      <rPr>
        <sz val="11"/>
        <color theme="1"/>
        <rFont val="WenQuanYi Zen Hei"/>
        <family val="2"/>
      </rPr>
      <t xml:space="preserve">、バナー</t>
    </r>
    <r>
      <rPr>
        <sz val="11"/>
        <color theme="1"/>
        <rFont val="Calibri"/>
        <family val="2"/>
        <charset val="1"/>
      </rPr>
      <t xml:space="preserve">B</t>
    </r>
    <r>
      <rPr>
        <sz val="11"/>
        <color theme="1"/>
        <rFont val="WenQuanYi Zen Hei"/>
        <family val="2"/>
      </rPr>
      <t xml:space="preserve">は</t>
    </r>
    <r>
      <rPr>
        <sz val="11"/>
        <color theme="1"/>
        <rFont val="Calibri"/>
        <family val="2"/>
        <charset val="1"/>
      </rPr>
      <t xml:space="preserve">2.6%</t>
    </r>
    <r>
      <rPr>
        <sz val="11"/>
        <color theme="1"/>
        <rFont val="WenQuanYi Zen Hei"/>
        <family val="2"/>
      </rPr>
      <t xml:space="preserve">）で、そのキャッチコピーは「うるおい、</t>
    </r>
    <r>
      <rPr>
        <sz val="11"/>
        <color theme="1"/>
        <rFont val="Calibri"/>
        <family val="2"/>
        <charset val="1"/>
      </rPr>
      <t xml:space="preserve">72</t>
    </r>
    <r>
      <rPr>
        <sz val="11"/>
        <color theme="1"/>
        <rFont val="WenQuanYi Zen Hei"/>
        <family val="2"/>
      </rPr>
      <t xml:space="preserve">時間。」です（商品：</t>
    </r>
    <r>
      <rPr>
        <sz val="11"/>
        <color theme="1"/>
        <rFont val="Calibri"/>
        <family val="2"/>
        <charset val="1"/>
      </rPr>
      <t xml:space="preserve">LUMIERE </t>
    </r>
    <r>
      <rPr>
        <sz val="11"/>
        <color theme="1"/>
        <rFont val="WenQuanYi Zen Hei"/>
        <family val="2"/>
      </rPr>
      <t xml:space="preserve">モイストセラム、機能訴求）。</t>
    </r>
  </si>
  <si>
    <t xml:space="preserve">08-15</t>
  </si>
  <si>
    <t xml:space="preserve">『課題』の下に挙げられている項目をすべて答えてください。</t>
  </si>
  <si>
    <r>
      <rPr>
        <sz val="10"/>
        <rFont val="Meiryo UI"/>
        <family val="0"/>
        <charset val="1"/>
      </rPr>
      <t xml:space="preserve">SNS</t>
    </r>
    <r>
      <rPr>
        <sz val="10"/>
        <rFont val="WenQuanYi Zen Hei"/>
        <family val="2"/>
      </rPr>
      <t xml:space="preserve">広告の</t>
    </r>
    <r>
      <rPr>
        <sz val="10"/>
        <rFont val="Meiryo UI"/>
        <family val="0"/>
        <charset val="1"/>
      </rPr>
      <t xml:space="preserve">CPA</t>
    </r>
    <r>
      <rPr>
        <sz val="10"/>
        <rFont val="WenQuanYi Zen Hei"/>
        <family val="2"/>
      </rPr>
      <t xml:space="preserve">悪化、動画広告の費用対効果（＋それぞれの補足）</t>
    </r>
  </si>
  <si>
    <r>
      <rPr>
        <sz val="10"/>
        <rFont val="WenQuanYi Zen Hei"/>
        <family val="2"/>
      </rPr>
      <t xml:space="preserve">【階層構造・</t>
    </r>
    <r>
      <rPr>
        <sz val="10"/>
        <rFont val="Noto Sans CJK SC"/>
        <family val="2"/>
        <charset val="1"/>
      </rPr>
      <t xml:space="preserve">2</t>
    </r>
    <r>
      <rPr>
        <sz val="10"/>
        <rFont val="WenQuanYi Zen Hei"/>
        <family val="2"/>
      </rPr>
      <t xml:space="preserve">段組】</t>
    </r>
    <r>
      <rPr>
        <sz val="10"/>
        <rFont val="Noto Sans CJK SC"/>
        <family val="2"/>
        <charset val="1"/>
      </rPr>
      <t xml:space="preserve">P8 </t>
    </r>
    <r>
      <rPr>
        <sz val="10"/>
        <rFont val="WenQuanYi Zen Hei"/>
        <family val="2"/>
      </rPr>
      <t xml:space="preserve">箇条書きのインデント階層</t>
    </r>
  </si>
  <si>
    <r>
      <rPr>
        <sz val="10"/>
        <rFont val="Meiryo UI"/>
        <family val="0"/>
        <charset val="1"/>
      </rPr>
      <t xml:space="preserve">SNS</t>
    </r>
    <r>
      <rPr>
        <sz val="10"/>
        <rFont val="WenQuanYi Zen Hei"/>
        <family val="2"/>
      </rPr>
      <t xml:space="preserve">広告の</t>
    </r>
    <r>
      <rPr>
        <sz val="10"/>
        <rFont val="Meiryo UI"/>
        <family val="0"/>
        <charset val="1"/>
      </rPr>
      <t xml:space="preserve">CPA</t>
    </r>
    <r>
      <rPr>
        <sz val="10"/>
        <rFont val="WenQuanYi Zen Hei"/>
        <family val="2"/>
      </rPr>
      <t xml:space="preserve">悪化、動画広告の費用対効果（＋補足）</t>
    </r>
  </si>
  <si>
    <r>
      <rPr>
        <sz val="11"/>
        <color theme="1"/>
        <rFont val="WenQuanYi Zen Hei"/>
        <family val="2"/>
      </rPr>
      <t xml:space="preserve">『課題』（スライド</t>
    </r>
    <r>
      <rPr>
        <sz val="11"/>
        <color theme="1"/>
        <rFont val="Calibri"/>
        <family val="2"/>
        <charset val="1"/>
      </rPr>
      <t xml:space="preserve">8</t>
    </r>
    <r>
      <rPr>
        <sz val="11"/>
        <color theme="1"/>
        <rFont val="WenQuanYi Zen Hei"/>
        <family val="2"/>
      </rPr>
      <t xml:space="preserve">：考察）の下に挙げられている項目は以下の</t>
    </r>
    <r>
      <rPr>
        <sz val="11"/>
        <color theme="1"/>
        <rFont val="Calibri"/>
        <family val="2"/>
        <charset val="1"/>
      </rPr>
      <t xml:space="preserve">2</t>
    </r>
    <r>
      <rPr>
        <sz val="11"/>
        <color theme="1"/>
        <rFont val="WenQuanYi Zen Hei"/>
        <family val="2"/>
      </rPr>
      <t xml:space="preserve">つです。
</t>
    </r>
    <r>
      <rPr>
        <sz val="11"/>
        <color theme="1"/>
        <rFont val="Calibri"/>
        <family val="2"/>
        <charset val="1"/>
      </rPr>
      <t xml:space="preserve">1. SNS</t>
    </r>
    <r>
      <rPr>
        <sz val="11"/>
        <color theme="1"/>
        <rFont val="WenQuanYi Zen Hei"/>
        <family val="2"/>
      </rPr>
      <t xml:space="preserve">広告の</t>
    </r>
    <r>
      <rPr>
        <sz val="11"/>
        <color theme="1"/>
        <rFont val="Calibri"/>
        <family val="2"/>
        <charset val="1"/>
      </rPr>
      <t xml:space="preserve">CPA</t>
    </r>
    <r>
      <rPr>
        <sz val="11"/>
        <color theme="1"/>
        <rFont val="WenQuanYi Zen Hei"/>
        <family val="2"/>
      </rPr>
      <t xml:space="preserve">悪化
   </t>
    </r>
    <r>
      <rPr>
        <sz val="11"/>
        <color theme="1"/>
        <rFont val="Calibri"/>
        <family val="2"/>
        <charset val="1"/>
      </rPr>
      <t xml:space="preserve">- </t>
    </r>
    <r>
      <rPr>
        <sz val="11"/>
        <color theme="1"/>
        <rFont val="WenQuanYi Zen Hei"/>
        <family val="2"/>
      </rPr>
      <t xml:space="preserve">インフルエンサー投稿後に流入は増えたが、購入率が低い
</t>
    </r>
    <r>
      <rPr>
        <sz val="11"/>
        <color theme="1"/>
        <rFont val="Calibri"/>
        <family val="2"/>
        <charset val="1"/>
      </rPr>
      <t xml:space="preserve">2. </t>
    </r>
    <r>
      <rPr>
        <sz val="11"/>
        <color theme="1"/>
        <rFont val="WenQuanYi Zen Hei"/>
        <family val="2"/>
      </rPr>
      <t xml:space="preserve">動画広告の費用対効果
   </t>
    </r>
    <r>
      <rPr>
        <sz val="11"/>
        <color theme="1"/>
        <rFont val="Calibri"/>
        <family val="2"/>
        <charset val="1"/>
      </rPr>
      <t xml:space="preserve">- </t>
    </r>
    <r>
      <rPr>
        <sz val="11"/>
        <color theme="1"/>
        <rFont val="WenQuanYi Zen Hei"/>
        <family val="2"/>
      </rPr>
      <t xml:space="preserve">視聴完了率 </t>
    </r>
    <r>
      <rPr>
        <sz val="11"/>
        <color theme="1"/>
        <rFont val="Calibri"/>
        <family val="2"/>
        <charset val="1"/>
      </rPr>
      <t xml:space="preserve">22%</t>
    </r>
    <r>
      <rPr>
        <sz val="11"/>
        <color theme="1"/>
        <rFont val="WenQuanYi Zen Hei"/>
        <family val="2"/>
      </rPr>
      <t xml:space="preserve">（目標 </t>
    </r>
    <r>
      <rPr>
        <sz val="11"/>
        <color theme="1"/>
        <rFont val="Calibri"/>
        <family val="2"/>
        <charset val="1"/>
      </rPr>
      <t xml:space="preserve">35%</t>
    </r>
    <r>
      <rPr>
        <sz val="11"/>
        <color theme="1"/>
        <rFont val="WenQuanYi Zen Hei"/>
        <family val="2"/>
      </rPr>
      <t xml:space="preserve">）</t>
    </r>
  </si>
  <si>
    <t xml:space="preserve">08-16</t>
  </si>
  <si>
    <t xml:space="preserve">動画広告の視聴完了率と、その目標値を答えてください。</t>
  </si>
  <si>
    <r>
      <rPr>
        <sz val="10"/>
        <rFont val="Meiryo UI"/>
        <family val="0"/>
        <charset val="1"/>
      </rPr>
      <t xml:space="preserve">22%</t>
    </r>
    <r>
      <rPr>
        <sz val="10"/>
        <rFont val="WenQuanYi Zen Hei"/>
        <family val="2"/>
      </rPr>
      <t xml:space="preserve">（目標</t>
    </r>
    <r>
      <rPr>
        <sz val="10"/>
        <rFont val="Meiryo UI"/>
        <family val="0"/>
        <charset val="1"/>
      </rPr>
      <t xml:space="preserve">35%</t>
    </r>
    <r>
      <rPr>
        <sz val="10"/>
        <rFont val="WenQuanYi Zen Hei"/>
        <family val="2"/>
      </rPr>
      <t xml:space="preserve">）</t>
    </r>
  </si>
  <si>
    <r>
      <rPr>
        <sz val="10"/>
        <rFont val="WenQuanYi Zen Hei"/>
        <family val="2"/>
      </rPr>
      <t xml:space="preserve">【階層構造】</t>
    </r>
    <r>
      <rPr>
        <sz val="10"/>
        <rFont val="Noto Sans CJK SC"/>
        <family val="2"/>
        <charset val="1"/>
      </rPr>
      <t xml:space="preserve">P8 </t>
    </r>
    <r>
      <rPr>
        <sz val="10"/>
        <rFont val="WenQuanYi Zen Hei"/>
        <family val="2"/>
      </rPr>
      <t xml:space="preserve">第</t>
    </r>
    <r>
      <rPr>
        <sz val="10"/>
        <rFont val="Noto Sans CJK SC"/>
        <family val="2"/>
        <charset val="1"/>
      </rPr>
      <t xml:space="preserve">3</t>
    </r>
    <r>
      <rPr>
        <sz val="10"/>
        <rFont val="WenQuanYi Zen Hei"/>
        <family val="2"/>
      </rPr>
      <t xml:space="preserve">階層の箇条書き</t>
    </r>
  </si>
  <si>
    <r>
      <rPr>
        <sz val="11"/>
        <color theme="1"/>
        <rFont val="WenQuanYi Zen Hei"/>
        <family val="2"/>
      </rPr>
      <t xml:space="preserve">動画広告の視聴完了率は</t>
    </r>
    <r>
      <rPr>
        <sz val="11"/>
        <color theme="1"/>
        <rFont val="Calibri"/>
        <family val="2"/>
        <charset val="1"/>
      </rPr>
      <t xml:space="preserve">22%</t>
    </r>
    <r>
      <rPr>
        <sz val="11"/>
        <color theme="1"/>
        <rFont val="WenQuanYi Zen Hei"/>
        <family val="2"/>
      </rPr>
      <t xml:space="preserve">で、目標値は</t>
    </r>
    <r>
      <rPr>
        <sz val="11"/>
        <color theme="1"/>
        <rFont val="Calibri"/>
        <family val="2"/>
        <charset val="1"/>
      </rPr>
      <t xml:space="preserve">35%</t>
    </r>
    <r>
      <rPr>
        <sz val="11"/>
        <color theme="1"/>
        <rFont val="WenQuanYi Zen Hei"/>
        <family val="2"/>
      </rPr>
      <t xml:space="preserve">です（スライド</t>
    </r>
    <r>
      <rPr>
        <sz val="11"/>
        <color theme="1"/>
        <rFont val="Calibri"/>
        <family val="2"/>
        <charset val="1"/>
      </rPr>
      <t xml:space="preserve">8</t>
    </r>
    <r>
      <rPr>
        <sz val="11"/>
        <color theme="1"/>
        <rFont val="WenQuanYi Zen Hei"/>
        <family val="2"/>
      </rPr>
      <t xml:space="preserve">「考察」の課題欄より。目標に対して</t>
    </r>
    <r>
      <rPr>
        <sz val="11"/>
        <color theme="1"/>
        <rFont val="Calibri"/>
        <family val="2"/>
        <charset val="1"/>
      </rPr>
      <t xml:space="preserve">13</t>
    </r>
    <r>
      <rPr>
        <sz val="11"/>
        <color theme="1"/>
        <rFont val="WenQuanYi Zen Hei"/>
        <family val="2"/>
      </rPr>
      <t xml:space="preserve">ポイント未達）。なお、本資料の数値はすべて確定前の速報値です。</t>
    </r>
  </si>
  <si>
    <t xml:space="preserve">08-17</t>
  </si>
  <si>
    <t xml:space="preserve">日別データの中で、欠測となっている日はいつですか？理由も答えてください。</t>
  </si>
  <si>
    <r>
      <rPr>
        <sz val="10"/>
        <rFont val="Meiryo UI"/>
        <family val="0"/>
        <charset val="1"/>
      </rPr>
      <t xml:space="preserve">2026</t>
    </r>
    <r>
      <rPr>
        <sz val="10"/>
        <rFont val="WenQuanYi Zen Hei"/>
        <family val="2"/>
      </rPr>
      <t xml:space="preserve">年</t>
    </r>
    <r>
      <rPr>
        <sz val="10"/>
        <rFont val="Meiryo UI"/>
        <family val="0"/>
        <charset val="1"/>
      </rPr>
      <t xml:space="preserve">10</t>
    </r>
    <r>
      <rPr>
        <sz val="10"/>
        <rFont val="WenQuanYi Zen Hei"/>
        <family val="2"/>
      </rPr>
      <t xml:space="preserve">月</t>
    </r>
    <r>
      <rPr>
        <sz val="10"/>
        <rFont val="Meiryo UI"/>
        <family val="0"/>
        <charset val="1"/>
      </rPr>
      <t xml:space="preserve">12</t>
    </r>
    <r>
      <rPr>
        <sz val="10"/>
        <rFont val="WenQuanYi Zen Hei"/>
        <family val="2"/>
      </rPr>
      <t xml:space="preserve">日。計測タグの不具合</t>
    </r>
  </si>
  <si>
    <r>
      <rPr>
        <sz val="10"/>
        <rFont val="WenQuanYi Zen Hei"/>
        <family val="2"/>
      </rPr>
      <t xml:space="preserve">【埋め込み</t>
    </r>
    <r>
      <rPr>
        <sz val="10"/>
        <rFont val="Noto Sans CJK SC"/>
        <family val="2"/>
        <charset val="1"/>
      </rPr>
      <t xml:space="preserve">Excel</t>
    </r>
    <r>
      <rPr>
        <sz val="10"/>
        <rFont val="WenQuanYi Zen Hei"/>
        <family val="2"/>
      </rPr>
      <t xml:space="preserve">】</t>
    </r>
    <r>
      <rPr>
        <sz val="10"/>
        <rFont val="Noto Sans CJK SC"/>
        <family val="2"/>
        <charset val="1"/>
      </rPr>
      <t xml:space="preserve">P9 </t>
    </r>
    <r>
      <rPr>
        <sz val="10"/>
        <rFont val="WenQuanYi Zen Hei"/>
        <family val="2"/>
      </rPr>
      <t xml:space="preserve">埋め込み</t>
    </r>
    <r>
      <rPr>
        <sz val="10"/>
        <rFont val="Noto Sans CJK SC"/>
        <family val="2"/>
        <charset val="1"/>
      </rPr>
      <t xml:space="preserve">Excel</t>
    </r>
    <r>
      <rPr>
        <sz val="10"/>
        <rFont val="WenQuanYi Zen Hei"/>
        <family val="2"/>
      </rPr>
      <t xml:space="preserve">ファイル内のデータと注記</t>
    </r>
  </si>
  <si>
    <r>
      <rPr>
        <sz val="10"/>
        <rFont val="Meiryo UI"/>
        <family val="0"/>
        <charset val="1"/>
      </rPr>
      <t xml:space="preserve">2026</t>
    </r>
    <r>
      <rPr>
        <sz val="10"/>
        <rFont val="WenQuanYi Zen Hei"/>
        <family val="2"/>
      </rPr>
      <t xml:space="preserve">年</t>
    </r>
    <r>
      <rPr>
        <sz val="10"/>
        <rFont val="Meiryo UI"/>
        <family val="0"/>
        <charset val="1"/>
      </rPr>
      <t xml:space="preserve">10</t>
    </r>
    <r>
      <rPr>
        <sz val="10"/>
        <rFont val="WenQuanYi Zen Hei"/>
        <family val="2"/>
      </rPr>
      <t xml:space="preserve">月</t>
    </r>
    <r>
      <rPr>
        <sz val="10"/>
        <rFont val="Meiryo UI"/>
        <family val="0"/>
        <charset val="1"/>
      </rPr>
      <t xml:space="preserve">12</t>
    </r>
    <r>
      <rPr>
        <sz val="10"/>
        <rFont val="WenQuanYi Zen Hei"/>
        <family val="2"/>
      </rPr>
      <t xml:space="preserve">日、計測タグの不具合</t>
    </r>
  </si>
  <si>
    <r>
      <rPr>
        <sz val="11"/>
        <color theme="1"/>
        <rFont val="WenQuanYi Zen Hei"/>
        <family val="2"/>
      </rPr>
      <t xml:space="preserve">欠測となっている日は </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10</t>
    </r>
    <r>
      <rPr>
        <sz val="11"/>
        <color theme="1"/>
        <rFont val="WenQuanYi Zen Hei"/>
        <family val="2"/>
      </rPr>
      <t xml:space="preserve">月</t>
    </r>
    <r>
      <rPr>
        <sz val="11"/>
        <color theme="1"/>
        <rFont val="Calibri"/>
        <family val="2"/>
        <charset val="1"/>
      </rPr>
      <t xml:space="preserve">12</t>
    </r>
    <r>
      <rPr>
        <sz val="11"/>
        <color theme="1"/>
        <rFont val="WenQuanYi Zen Hei"/>
        <family val="2"/>
      </rPr>
      <t xml:space="preserve">日</t>
    </r>
    <r>
      <rPr>
        <sz val="11"/>
        <color theme="1"/>
        <rFont val="Calibri"/>
        <family val="2"/>
        <charset val="1"/>
      </rPr>
      <t xml:space="preserve">** </t>
    </r>
    <r>
      <rPr>
        <sz val="11"/>
        <color theme="1"/>
        <rFont val="WenQuanYi Zen Hei"/>
        <family val="2"/>
      </rPr>
      <t xml:space="preserve">です（表示回数・クリック・購入のすべてが欠測）。
理由：</t>
    </r>
    <r>
      <rPr>
        <sz val="11"/>
        <color theme="1"/>
        <rFont val="Calibri"/>
        <family val="2"/>
        <charset val="1"/>
      </rPr>
      <t xml:space="preserve">**</t>
    </r>
    <r>
      <rPr>
        <sz val="11"/>
        <color theme="1"/>
        <rFont val="WenQuanYi Zen Hei"/>
        <family val="2"/>
      </rPr>
      <t xml:space="preserve">計測タグの不具合</t>
    </r>
    <r>
      <rPr>
        <sz val="11"/>
        <color theme="1"/>
        <rFont val="Calibri"/>
        <family val="2"/>
        <charset val="1"/>
      </rPr>
      <t xml:space="preserve">**</t>
    </r>
    <r>
      <rPr>
        <sz val="11"/>
        <color theme="1"/>
        <rFont val="WenQuanYi Zen Hei"/>
        <family val="2"/>
      </rPr>
      <t xml:space="preserve">によるものです（スライド</t>
    </r>
    <r>
      <rPr>
        <sz val="11"/>
        <color theme="1"/>
        <rFont val="Calibri"/>
        <family val="2"/>
        <charset val="1"/>
      </rPr>
      <t xml:space="preserve">9</t>
    </r>
    <r>
      <rPr>
        <sz val="11"/>
        <color theme="1"/>
        <rFont val="WenQuanYi Zen Hei"/>
        <family val="2"/>
      </rPr>
      <t xml:space="preserve">の埋め込み</t>
    </r>
    <r>
      <rPr>
        <sz val="11"/>
        <color theme="1"/>
        <rFont val="Calibri"/>
        <family val="2"/>
        <charset val="1"/>
      </rPr>
      <t xml:space="preserve">Excel</t>
    </r>
    <r>
      <rPr>
        <sz val="11"/>
        <color theme="1"/>
        <rFont val="WenQuanYi Zen Hei"/>
        <family val="2"/>
      </rPr>
      <t xml:space="preserve">「日別」シート内の注記「※</t>
    </r>
    <r>
      <rPr>
        <sz val="11"/>
        <color theme="1"/>
        <rFont val="Calibri"/>
        <family val="2"/>
        <charset val="1"/>
      </rPr>
      <t xml:space="preserve">10/12</t>
    </r>
    <r>
      <rPr>
        <sz val="11"/>
        <color theme="1"/>
        <rFont val="WenQuanYi Zen Hei"/>
        <family val="2"/>
      </rPr>
      <t xml:space="preserve">は計測タグの不具合により欠測」）。</t>
    </r>
  </si>
  <si>
    <t xml:space="preserve">08-18</t>
  </si>
  <si>
    <t xml:space="preserve">動画広告は今後どうする方向ですか？</t>
  </si>
  <si>
    <r>
      <rPr>
        <sz val="10"/>
        <rFont val="Meiryo UI"/>
        <family val="0"/>
        <charset val="1"/>
      </rPr>
      <t xml:space="preserve">12</t>
    </r>
    <r>
      <rPr>
        <sz val="10"/>
        <rFont val="WenQuanYi Zen Hei"/>
        <family val="2"/>
      </rPr>
      <t xml:space="preserve">月の配信結果が改善しなければ</t>
    </r>
    <r>
      <rPr>
        <sz val="10"/>
        <rFont val="Meiryo UI"/>
        <family val="0"/>
        <charset val="1"/>
      </rPr>
      <t xml:space="preserve">2027</t>
    </r>
    <r>
      <rPr>
        <sz val="10"/>
        <rFont val="WenQuanYi Zen Hei"/>
        <family val="2"/>
      </rPr>
      <t xml:space="preserve">年</t>
    </r>
    <r>
      <rPr>
        <sz val="10"/>
        <rFont val="Meiryo UI"/>
        <family val="0"/>
        <charset val="1"/>
      </rPr>
      <t xml:space="preserve">1</t>
    </r>
    <r>
      <rPr>
        <sz val="10"/>
        <rFont val="WenQuanYi Zen Hei"/>
        <family val="2"/>
      </rPr>
      <t xml:space="preserve">月で停止する方向（社内合意前）</t>
    </r>
  </si>
  <si>
    <r>
      <rPr>
        <sz val="10"/>
        <rFont val="WenQuanYi Zen Hei"/>
        <family val="2"/>
      </rPr>
      <t xml:space="preserve">配信内容見直し・予算</t>
    </r>
    <r>
      <rPr>
        <sz val="10"/>
        <rFont val="Meiryo UI"/>
        <family val="0"/>
        <charset val="1"/>
      </rPr>
      <t xml:space="preserve">80</t>
    </r>
    <r>
      <rPr>
        <sz val="10"/>
        <rFont val="WenQuanYi Zen Hei"/>
        <family val="2"/>
      </rPr>
      <t xml:space="preserve">万円に減額。ノートより「</t>
    </r>
    <r>
      <rPr>
        <sz val="10"/>
        <rFont val="Meiryo UI"/>
        <family val="0"/>
        <charset val="1"/>
      </rPr>
      <t xml:space="preserve">12</t>
    </r>
    <r>
      <rPr>
        <sz val="10"/>
        <rFont val="WenQuanYi Zen Hei"/>
        <family val="2"/>
      </rPr>
      <t xml:space="preserve">月改善なければ</t>
    </r>
    <r>
      <rPr>
        <sz val="10"/>
        <rFont val="Meiryo UI"/>
        <family val="0"/>
        <charset val="1"/>
      </rPr>
      <t xml:space="preserve">2027</t>
    </r>
    <r>
      <rPr>
        <sz val="10"/>
        <rFont val="WenQuanYi Zen Hei"/>
        <family val="2"/>
      </rPr>
      <t xml:space="preserve">年</t>
    </r>
    <r>
      <rPr>
        <sz val="10"/>
        <rFont val="Meiryo UI"/>
        <family val="0"/>
        <charset val="1"/>
      </rPr>
      <t xml:space="preserve">1</t>
    </r>
    <r>
      <rPr>
        <sz val="10"/>
        <rFont val="WenQuanYi Zen Hei"/>
        <family val="2"/>
      </rPr>
      <t xml:space="preserve">月で停止の方向（社内合意前）」</t>
    </r>
  </si>
  <si>
    <r>
      <rPr>
        <sz val="11"/>
        <color theme="1"/>
        <rFont val="WenQuanYi Zen Hei"/>
        <family val="2"/>
      </rPr>
      <t xml:space="preserve">資料（スライド</t>
    </r>
    <r>
      <rPr>
        <sz val="11"/>
        <color theme="1"/>
        <rFont val="Calibri"/>
        <family val="2"/>
        <charset val="1"/>
      </rPr>
      <t xml:space="preserve">10</t>
    </r>
    <r>
      <rPr>
        <sz val="11"/>
        <color theme="1"/>
        <rFont val="WenQuanYi Zen Hei"/>
        <family val="2"/>
      </rPr>
      <t xml:space="preserve">「次期施策と予算配分（案）」）によると、動画広告は「配信内容を見直す」方向です。
</t>
    </r>
    <r>
      <rPr>
        <sz val="11"/>
        <color theme="1"/>
        <rFont val="Calibri"/>
        <family val="2"/>
        <charset val="1"/>
      </rPr>
      <t xml:space="preserve">- </t>
    </r>
    <r>
      <rPr>
        <sz val="11"/>
        <color theme="1"/>
        <rFont val="WenQuanYi Zen Hei"/>
        <family val="2"/>
      </rPr>
      <t xml:space="preserve">予算：</t>
    </r>
    <r>
      <rPr>
        <sz val="11"/>
        <color theme="1"/>
        <rFont val="Calibri"/>
        <family val="2"/>
        <charset val="1"/>
      </rPr>
      <t xml:space="preserve">10</t>
    </r>
    <r>
      <rPr>
        <sz val="11"/>
        <color theme="1"/>
        <rFont val="WenQuanYi Zen Hei"/>
        <family val="2"/>
      </rPr>
      <t xml:space="preserve">月の</t>
    </r>
    <r>
      <rPr>
        <sz val="11"/>
        <color theme="1"/>
        <rFont val="Calibri"/>
        <family val="2"/>
        <charset val="1"/>
      </rPr>
      <t xml:space="preserve">130</t>
    </r>
    <r>
      <rPr>
        <sz val="11"/>
        <color theme="1"/>
        <rFont val="WenQuanYi Zen Hei"/>
        <family val="2"/>
      </rPr>
      <t xml:space="preserve">万円から、次期（</t>
    </r>
    <r>
      <rPr>
        <sz val="11"/>
        <color theme="1"/>
        <rFont val="Calibri"/>
        <family val="2"/>
        <charset val="1"/>
      </rPr>
      <t xml:space="preserve">12</t>
    </r>
    <r>
      <rPr>
        <sz val="11"/>
        <color theme="1"/>
        <rFont val="WenQuanYi Zen Hei"/>
        <family val="2"/>
      </rPr>
      <t xml:space="preserve">月）は</t>
    </r>
    <r>
      <rPr>
        <sz val="11"/>
        <color theme="1"/>
        <rFont val="Calibri"/>
        <family val="2"/>
        <charset val="1"/>
      </rPr>
      <t xml:space="preserve">80</t>
    </r>
    <r>
      <rPr>
        <sz val="11"/>
        <color theme="1"/>
        <rFont val="WenQuanYi Zen Hei"/>
        <family val="2"/>
      </rPr>
      <t xml:space="preserve">万円に減らす案です（−</t>
    </r>
    <r>
      <rPr>
        <sz val="11"/>
        <color theme="1"/>
        <rFont val="Calibri"/>
        <family val="2"/>
        <charset val="1"/>
      </rPr>
      <t xml:space="preserve">50</t>
    </r>
    <r>
      <rPr>
        <sz val="11"/>
        <color theme="1"/>
        <rFont val="WenQuanYi Zen Hei"/>
        <family val="2"/>
      </rPr>
      <t xml:space="preserve">万円）。全チャネルで最も大きい減額です。
</t>
    </r>
    <r>
      <rPr>
        <sz val="11"/>
        <color theme="1"/>
        <rFont val="Calibri"/>
        <family val="2"/>
        <charset val="1"/>
      </rPr>
      <t xml:space="preserve">- </t>
    </r>
    <r>
      <rPr>
        <sz val="11"/>
        <color theme="1"/>
        <rFont val="WenQuanYi Zen Hei"/>
        <family val="2"/>
      </rPr>
      <t xml:space="preserve">理由（スライド</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t>
    </r>
    <r>
      <rPr>
        <sz val="11"/>
        <color theme="1"/>
        <rFont val="Calibri"/>
        <family val="2"/>
        <charset val="1"/>
      </rPr>
      <t xml:space="preserve">8</t>
    </r>
    <r>
      <rPr>
        <sz val="11"/>
        <color theme="1"/>
        <rFont val="WenQuanYi Zen Hei"/>
        <family val="2"/>
      </rPr>
      <t xml:space="preserve">）：</t>
    </r>
    <r>
      <rPr>
        <sz val="11"/>
        <color theme="1"/>
        <rFont val="Calibri"/>
        <family val="2"/>
        <charset val="1"/>
      </rPr>
      <t xml:space="preserve">CPA</t>
    </r>
    <r>
      <rPr>
        <sz val="11"/>
        <color theme="1"/>
        <rFont val="WenQuanYi Zen Hei"/>
        <family val="2"/>
      </rPr>
      <t xml:space="preserve">が</t>
    </r>
    <r>
      <rPr>
        <sz val="11"/>
        <color theme="1"/>
        <rFont val="Calibri"/>
        <family val="2"/>
        <charset val="1"/>
      </rPr>
      <t xml:space="preserve">6,500</t>
    </r>
    <r>
      <rPr>
        <sz val="11"/>
        <color theme="1"/>
        <rFont val="WenQuanYi Zen Hei"/>
        <family val="2"/>
      </rPr>
      <t xml:space="preserve">円で全チャネル中もっとも高く、目標の</t>
    </r>
    <r>
      <rPr>
        <sz val="11"/>
        <color theme="1"/>
        <rFont val="Calibri"/>
        <family val="2"/>
        <charset val="1"/>
      </rPr>
      <t xml:space="preserve">5,000</t>
    </r>
    <r>
      <rPr>
        <sz val="11"/>
        <color theme="1"/>
        <rFont val="WenQuanYi Zen Hei"/>
        <family val="2"/>
      </rPr>
      <t xml:space="preserve">円を超えています。購入数も</t>
    </r>
    <r>
      <rPr>
        <sz val="11"/>
        <color theme="1"/>
        <rFont val="Calibri"/>
        <family val="2"/>
        <charset val="1"/>
      </rPr>
      <t xml:space="preserve">200</t>
    </r>
    <r>
      <rPr>
        <sz val="11"/>
        <color theme="1"/>
        <rFont val="WenQuanYi Zen Hei"/>
        <family val="2"/>
      </rPr>
      <t xml:space="preserve">件で、目標の</t>
    </r>
    <r>
      <rPr>
        <sz val="11"/>
        <color theme="1"/>
        <rFont val="Calibri"/>
        <family val="2"/>
        <charset val="1"/>
      </rPr>
      <t xml:space="preserve">250</t>
    </r>
    <r>
      <rPr>
        <sz val="11"/>
        <color theme="1"/>
        <rFont val="WenQuanYi Zen Hei"/>
        <family val="2"/>
      </rPr>
      <t xml:space="preserve">件に届いていません。視聴完了率も</t>
    </r>
    <r>
      <rPr>
        <sz val="11"/>
        <color theme="1"/>
        <rFont val="Calibri"/>
        <family val="2"/>
        <charset val="1"/>
      </rPr>
      <t xml:space="preserve">22%</t>
    </r>
    <r>
      <rPr>
        <sz val="11"/>
        <color theme="1"/>
        <rFont val="WenQuanYi Zen Hei"/>
        <family val="2"/>
      </rPr>
      <t xml:space="preserve">で、目標の</t>
    </r>
    <r>
      <rPr>
        <sz val="11"/>
        <color theme="1"/>
        <rFont val="Calibri"/>
        <family val="2"/>
        <charset val="1"/>
      </rPr>
      <t xml:space="preserve">35%</t>
    </r>
    <r>
      <rPr>
        <sz val="11"/>
        <color theme="1"/>
        <rFont val="WenQuanYi Zen Hei"/>
        <family val="2"/>
      </rPr>
      <t xml:space="preserve">を下回っており、「費用対効果」が課題に挙げられています。
なお、スライド</t>
    </r>
    <r>
      <rPr>
        <sz val="11"/>
        <color theme="1"/>
        <rFont val="Calibri"/>
        <family val="2"/>
        <charset val="1"/>
      </rPr>
      <t xml:space="preserve">10</t>
    </r>
    <r>
      <rPr>
        <sz val="11"/>
        <color theme="1"/>
        <rFont val="WenQuanYi Zen Hei"/>
        <family val="2"/>
      </rPr>
      <t xml:space="preserve">の発表者ノートには「</t>
    </r>
    <r>
      <rPr>
        <sz val="11"/>
        <color theme="1"/>
        <rFont val="Calibri"/>
        <family val="2"/>
        <charset val="1"/>
      </rPr>
      <t xml:space="preserve">12</t>
    </r>
    <r>
      <rPr>
        <sz val="11"/>
        <color theme="1"/>
        <rFont val="WenQuanYi Zen Hei"/>
        <family val="2"/>
      </rPr>
      <t xml:space="preserve">月の配信結果が改善しなければ</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1</t>
    </r>
    <r>
      <rPr>
        <sz val="11"/>
        <color theme="1"/>
        <rFont val="WenQuanYi Zen Hei"/>
        <family val="2"/>
      </rPr>
      <t xml:space="preserve">月で停止する方向」と書かれています。ただしこれは社内合意前の情報で、資料本体には載せない扱いになっているため、取扱いには注意が必要です。</t>
    </r>
  </si>
  <si>
    <t xml:space="preserve">08-19</t>
  </si>
  <si>
    <t xml:space="preserve">年代別の購入者数を答えてください。</t>
  </si>
  <si>
    <r>
      <rPr>
        <sz val="10"/>
        <rFont val="WenQuanYi Zen Hei"/>
        <family val="2"/>
      </rPr>
      <t xml:space="preserve">【記載なし】</t>
    </r>
    <r>
      <rPr>
        <sz val="10"/>
        <rFont val="Noto Sans CJK SC"/>
        <family val="2"/>
        <charset val="1"/>
      </rPr>
      <t xml:space="preserve">P6</t>
    </r>
    <r>
      <rPr>
        <sz val="10"/>
        <rFont val="WenQuanYi Zen Hei"/>
        <family val="2"/>
      </rPr>
      <t xml:space="preserve">（単価とリピート率のみ）</t>
    </r>
  </si>
  <si>
    <t xml:space="preserve">記載なし（単価とリピート率のみ）</t>
  </si>
  <si>
    <r>
      <rPr>
        <sz val="11"/>
        <color theme="1"/>
        <rFont val="WenQuanYi Zen Hei"/>
        <family val="2"/>
      </rPr>
      <t xml:space="preserve">資料には、年代別の購入者数（人数・件数）は記載されていません。
スライド</t>
    </r>
    <r>
      <rPr>
        <sz val="11"/>
        <color theme="1"/>
        <rFont val="Calibri"/>
        <family val="2"/>
        <charset val="1"/>
      </rPr>
      <t xml:space="preserve">6</t>
    </r>
    <r>
      <rPr>
        <sz val="11"/>
        <color theme="1"/>
        <rFont val="WenQuanYi Zen Hei"/>
        <family val="2"/>
      </rPr>
      <t xml:space="preserve">「年代別の購入傾向」に載っているのは、年代別の平均購入単価とリピート率だけです。
</t>
    </r>
    <r>
      <rPr>
        <sz val="11"/>
        <color theme="1"/>
        <rFont val="Calibri"/>
        <family val="2"/>
        <charset val="1"/>
      </rPr>
      <t xml:space="preserve">| </t>
    </r>
    <r>
      <rPr>
        <sz val="11"/>
        <color theme="1"/>
        <rFont val="WenQuanYi Zen Hei"/>
        <family val="2"/>
      </rPr>
      <t xml:space="preserve">年代 </t>
    </r>
    <r>
      <rPr>
        <sz val="11"/>
        <color theme="1"/>
        <rFont val="Calibri"/>
        <family val="2"/>
        <charset val="1"/>
      </rPr>
      <t xml:space="preserve">| </t>
    </r>
    <r>
      <rPr>
        <sz val="11"/>
        <color theme="1"/>
        <rFont val="WenQuanYi Zen Hei"/>
        <family val="2"/>
      </rPr>
      <t xml:space="preserve">平均購入単価（円） </t>
    </r>
    <r>
      <rPr>
        <sz val="11"/>
        <color theme="1"/>
        <rFont val="Calibri"/>
        <family val="2"/>
        <charset val="1"/>
      </rPr>
      <t xml:space="preserve">| </t>
    </r>
    <r>
      <rPr>
        <sz val="11"/>
        <color theme="1"/>
        <rFont val="WenQuanYi Zen Hei"/>
        <family val="2"/>
      </rPr>
      <t xml:space="preserve">リピート率（</t>
    </r>
    <r>
      <rPr>
        <sz val="11"/>
        <color theme="1"/>
        <rFont val="Calibri"/>
        <family val="2"/>
        <charset val="1"/>
      </rPr>
      <t xml:space="preserve">%</t>
    </r>
    <r>
      <rPr>
        <sz val="11"/>
        <color theme="1"/>
        <rFont val="WenQuanYi Zen Hei"/>
        <family val="2"/>
      </rPr>
      <t xml:space="preserve">） </t>
    </r>
    <r>
      <rPr>
        <sz val="11"/>
        <color theme="1"/>
        <rFont val="Calibri"/>
        <family val="2"/>
        <charset val="1"/>
      </rPr>
      <t xml:space="preserve">|
| --- | --- | --- |
| 20</t>
    </r>
    <r>
      <rPr>
        <sz val="11"/>
        <color theme="1"/>
        <rFont val="WenQuanYi Zen Hei"/>
        <family val="2"/>
      </rPr>
      <t xml:space="preserve">代 </t>
    </r>
    <r>
      <rPr>
        <sz val="11"/>
        <color theme="1"/>
        <rFont val="Calibri"/>
        <family val="2"/>
        <charset val="1"/>
      </rPr>
      <t xml:space="preserve">| 3,800 | 18 |
| 30</t>
    </r>
    <r>
      <rPr>
        <sz val="11"/>
        <color theme="1"/>
        <rFont val="WenQuanYi Zen Hei"/>
        <family val="2"/>
      </rPr>
      <t xml:space="preserve">代 </t>
    </r>
    <r>
      <rPr>
        <sz val="11"/>
        <color theme="1"/>
        <rFont val="Calibri"/>
        <family val="2"/>
        <charset val="1"/>
      </rPr>
      <t xml:space="preserve">| 5,200 | 26 |
| 40</t>
    </r>
    <r>
      <rPr>
        <sz val="11"/>
        <color theme="1"/>
        <rFont val="WenQuanYi Zen Hei"/>
        <family val="2"/>
      </rPr>
      <t xml:space="preserve">代 </t>
    </r>
    <r>
      <rPr>
        <sz val="11"/>
        <color theme="1"/>
        <rFont val="Calibri"/>
        <family val="2"/>
        <charset val="1"/>
      </rPr>
      <t xml:space="preserve">| 6,900 | 34 |
| 50</t>
    </r>
    <r>
      <rPr>
        <sz val="11"/>
        <color theme="1"/>
        <rFont val="WenQuanYi Zen Hei"/>
        <family val="2"/>
      </rPr>
      <t xml:space="preserve">代以上 </t>
    </r>
    <r>
      <rPr>
        <sz val="11"/>
        <color theme="1"/>
        <rFont val="Calibri"/>
        <family val="2"/>
        <charset val="1"/>
      </rPr>
      <t xml:space="preserve">| 7,400 | 41 |
</t>
    </r>
    <r>
      <rPr>
        <sz val="11"/>
        <color theme="1"/>
        <rFont val="WenQuanYi Zen Hei"/>
        <family val="2"/>
      </rPr>
      <t xml:space="preserve">全体の購入数は</t>
    </r>
    <r>
      <rPr>
        <sz val="11"/>
        <color theme="1"/>
        <rFont val="Calibri"/>
        <family val="2"/>
        <charset val="1"/>
      </rPr>
      <t xml:space="preserve">1,080</t>
    </r>
    <r>
      <rPr>
        <sz val="11"/>
        <color theme="1"/>
        <rFont val="WenQuanYi Zen Hei"/>
        <family val="2"/>
      </rPr>
      <t xml:space="preserve">件（スライド</t>
    </r>
    <r>
      <rPr>
        <sz val="11"/>
        <color theme="1"/>
        <rFont val="Calibri"/>
        <family val="2"/>
        <charset val="1"/>
      </rPr>
      <t xml:space="preserve">2</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、速報値）ですが、年代ごとの内訳はありません。年代別の購入者数を知りたい場合は、元データを作成部署（デジタルマーケティング部）に確認する必要があります。</t>
    </r>
  </si>
  <si>
    <t xml:space="preserve">08-20</t>
  </si>
  <si>
    <r>
      <rPr>
        <b val="true"/>
        <sz val="12"/>
        <rFont val="WenQuanYi Zen Hei"/>
        <family val="2"/>
      </rPr>
      <t xml:space="preserve">対象：</t>
    </r>
    <r>
      <rPr>
        <b val="true"/>
        <sz val="12"/>
        <rFont val="Noto Sans CJK SC"/>
        <family val="2"/>
        <charset val="1"/>
      </rPr>
      <t xml:space="preserve">09_</t>
    </r>
    <r>
      <rPr>
        <b val="true"/>
        <sz val="12"/>
        <rFont val="WenQuanYi Zen Hei"/>
        <family val="2"/>
      </rPr>
      <t xml:space="preserve">組織再編案</t>
    </r>
    <r>
      <rPr>
        <b val="true"/>
        <sz val="12"/>
        <rFont val="Noto Sans CJK SC"/>
        <family val="2"/>
        <charset val="1"/>
      </rPr>
      <t xml:space="preserve">.pptx</t>
    </r>
    <r>
      <rPr>
        <b val="true"/>
        <sz val="12"/>
        <rFont val="WenQuanYi Zen Hei"/>
        <family val="2"/>
      </rPr>
      <t xml:space="preserve">（</t>
    </r>
    <r>
      <rPr>
        <b val="true"/>
        <sz val="12"/>
        <rFont val="Noto Sans CJK SC"/>
        <family val="2"/>
        <charset val="1"/>
      </rPr>
      <t xml:space="preserve">10</t>
    </r>
    <r>
      <rPr>
        <b val="true"/>
        <sz val="12"/>
        <rFont val="WenQuanYi Zen Hei"/>
        <family val="2"/>
      </rPr>
      <t xml:space="preserve">枚）</t>
    </r>
  </si>
  <si>
    <t xml:space="preserve">この資料のバージョンと改訂日を答えてください。</t>
  </si>
  <si>
    <r>
      <rPr>
        <sz val="10"/>
        <rFont val="Meiryo UI"/>
        <family val="0"/>
        <charset val="1"/>
      </rPr>
      <t xml:space="preserve">Ver.3.2</t>
    </r>
    <r>
      <rPr>
        <sz val="10"/>
        <rFont val="WenQuanYi Zen Hei"/>
        <family val="2"/>
      </rPr>
      <t xml:space="preserve">、</t>
    </r>
    <r>
      <rPr>
        <sz val="10"/>
        <rFont val="Meiryo UI"/>
        <family val="0"/>
        <charset val="1"/>
      </rPr>
      <t xml:space="preserve">2026</t>
    </r>
    <r>
      <rPr>
        <sz val="10"/>
        <rFont val="WenQuanYi Zen Hei"/>
        <family val="2"/>
      </rPr>
      <t xml:space="preserve">年</t>
    </r>
    <r>
      <rPr>
        <sz val="10"/>
        <rFont val="Meiryo UI"/>
        <family val="0"/>
        <charset val="1"/>
      </rPr>
      <t xml:space="preserve">11</t>
    </r>
    <r>
      <rPr>
        <sz val="10"/>
        <rFont val="WenQuanYi Zen Hei"/>
        <family val="2"/>
      </rPr>
      <t xml:space="preserve">月</t>
    </r>
    <r>
      <rPr>
        <sz val="10"/>
        <rFont val="Meiryo UI"/>
        <family val="0"/>
        <charset val="1"/>
      </rPr>
      <t xml:space="preserve">2</t>
    </r>
    <r>
      <rPr>
        <sz val="10"/>
        <rFont val="WenQuanYi Zen Hei"/>
        <family val="2"/>
      </rPr>
      <t xml:space="preserve">日改訂</t>
    </r>
  </si>
  <si>
    <t xml:space="preserve">【スライドレイアウト】スライドレイアウト（マスター側）に配置したテキスト。各スライドには含まれない</t>
  </si>
  <si>
    <r>
      <rPr>
        <sz val="11"/>
        <color theme="1"/>
        <rFont val="WenQuanYi Zen Hei"/>
        <family val="2"/>
      </rPr>
      <t xml:space="preserve">この資料のバージョンは「</t>
    </r>
    <r>
      <rPr>
        <sz val="11"/>
        <color theme="1"/>
        <rFont val="Calibri"/>
        <family val="2"/>
        <charset val="1"/>
      </rPr>
      <t xml:space="preserve">Ver.3.2</t>
    </r>
    <r>
      <rPr>
        <sz val="11"/>
        <color theme="1"/>
        <rFont val="WenQuanYi Zen Hei"/>
        <family val="2"/>
      </rPr>
      <t xml:space="preserve">」、改訂日は「</t>
    </r>
    <r>
      <rPr>
        <sz val="11"/>
        <color theme="1"/>
        <rFont val="Calibri"/>
        <family val="2"/>
        <charset val="1"/>
      </rPr>
      <t xml:space="preserve">2026/11/02</t>
    </r>
    <r>
      <rPr>
        <sz val="11"/>
        <color theme="1"/>
        <rFont val="WenQuanYi Zen Hei"/>
        <family val="2"/>
      </rPr>
      <t xml:space="preserve">」（</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2</t>
    </r>
    <r>
      <rPr>
        <sz val="11"/>
        <color theme="1"/>
        <rFont val="WenQuanYi Zen Hei"/>
        <family val="2"/>
      </rPr>
      <t xml:space="preserve">日）です。
※全スライドの右上に「</t>
    </r>
    <r>
      <rPr>
        <sz val="11"/>
        <color theme="1"/>
        <rFont val="Calibri"/>
        <family val="2"/>
        <charset val="1"/>
      </rPr>
      <t xml:space="preserve">Ver.3.2</t>
    </r>
    <r>
      <rPr>
        <sz val="11"/>
        <color theme="1"/>
        <rFont val="WenQuanYi Zen Hei"/>
        <family val="2"/>
      </rPr>
      <t xml:space="preserve">（</t>
    </r>
    <r>
      <rPr>
        <sz val="11"/>
        <color theme="1"/>
        <rFont val="Calibri"/>
        <family val="2"/>
        <charset val="1"/>
      </rPr>
      <t xml:space="preserve">2026/11/02 </t>
    </r>
    <r>
      <rPr>
        <sz val="11"/>
        <color theme="1"/>
        <rFont val="WenQuanYi Zen Hei"/>
        <family val="2"/>
      </rPr>
      <t xml:space="preserve">改訂）」と表示されています。なお、資料内の注記では、発表者ノートに</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25</t>
    </r>
    <r>
      <rPr>
        <sz val="11"/>
        <color theme="1"/>
        <rFont val="WenQuanYi Zen Hei"/>
        <family val="2"/>
      </rPr>
      <t xml:space="preserve">日に実施済みの事項（労働組合への説明）が書かれているため、ノートと本文で更新した時期が異なる可能性があると指摘されています。</t>
    </r>
  </si>
  <si>
    <t xml:space="preserve">09-01</t>
  </si>
  <si>
    <r>
      <rPr>
        <sz val="10"/>
        <rFont val="WenQuanYi Zen Hei"/>
        <family val="2"/>
      </rPr>
      <t xml:space="preserve">資料の『第</t>
    </r>
    <r>
      <rPr>
        <sz val="10"/>
        <rFont val="Noto Sans CJK SC"/>
        <family val="2"/>
        <charset val="1"/>
      </rPr>
      <t xml:space="preserve">2</t>
    </r>
    <r>
      <rPr>
        <sz val="10"/>
        <rFont val="WenQuanYi Zen Hei"/>
        <family val="2"/>
      </rPr>
      <t xml:space="preserve">部』のセクション名と、含まれるスライドの範囲を答えてください。</t>
    </r>
  </si>
  <si>
    <r>
      <rPr>
        <sz val="10"/>
        <rFont val="WenQuanYi Zen Hei"/>
        <family val="2"/>
      </rPr>
      <t xml:space="preserve">第</t>
    </r>
    <r>
      <rPr>
        <sz val="10"/>
        <rFont val="Noto Sans CJK SC"/>
        <family val="2"/>
        <charset val="1"/>
      </rPr>
      <t xml:space="preserve">2</t>
    </r>
    <r>
      <rPr>
        <sz val="10"/>
        <rFont val="WenQuanYi Zen Hei"/>
        <family val="2"/>
      </rPr>
      <t xml:space="preserve">部 新組織案（スライド</t>
    </r>
    <r>
      <rPr>
        <sz val="10"/>
        <rFont val="Noto Sans CJK SC"/>
        <family val="2"/>
        <charset val="1"/>
      </rPr>
      <t xml:space="preserve">5</t>
    </r>
    <r>
      <rPr>
        <sz val="10"/>
        <rFont val="WenQuanYi Zen Hei"/>
        <family val="2"/>
      </rPr>
      <t xml:space="preserve">〜</t>
    </r>
    <r>
      <rPr>
        <sz val="10"/>
        <rFont val="Noto Sans CJK SC"/>
        <family val="2"/>
        <charset val="1"/>
      </rPr>
      <t xml:space="preserve">8</t>
    </r>
    <r>
      <rPr>
        <sz val="10"/>
        <rFont val="WenQuanYi Zen Hei"/>
        <family val="2"/>
      </rPr>
      <t xml:space="preserve">）</t>
    </r>
  </si>
  <si>
    <t xml:space="preserve">【セクション】プレゼンテーションのセクション設定</t>
  </si>
  <si>
    <t xml:space="preserve">対象外</t>
  </si>
  <si>
    <r>
      <rPr>
        <sz val="10"/>
        <rFont val="WenQuanYi Zen Hei"/>
        <family val="2"/>
      </rPr>
      <t xml:space="preserve">「第</t>
    </r>
    <r>
      <rPr>
        <sz val="10"/>
        <rFont val="Meiryo UI"/>
        <family val="0"/>
        <charset val="1"/>
      </rPr>
      <t xml:space="preserve">2</t>
    </r>
    <r>
      <rPr>
        <sz val="10"/>
        <rFont val="WenQuanYi Zen Hei"/>
        <family val="2"/>
      </rPr>
      <t xml:space="preserve">部」のセクション記載なし、回答不可</t>
    </r>
  </si>
  <si>
    <r>
      <rPr>
        <sz val="10"/>
        <rFont val="WenQuanYi Zen Hei"/>
        <family val="2"/>
      </rPr>
      <t xml:space="preserve">対象外：入力</t>
    </r>
    <r>
      <rPr>
        <sz val="10"/>
        <rFont val="Meiryo UI"/>
        <family val="0"/>
        <charset val="1"/>
      </rPr>
      <t xml:space="preserve">MD</t>
    </r>
    <r>
      <rPr>
        <sz val="10"/>
        <rFont val="WenQuanYi Zen Hei"/>
        <family val="2"/>
      </rPr>
      <t xml:space="preserve">にセクション情報（第</t>
    </r>
    <r>
      <rPr>
        <sz val="10"/>
        <rFont val="Meiryo UI"/>
        <family val="0"/>
        <charset val="1"/>
      </rPr>
      <t xml:space="preserve">2</t>
    </r>
    <r>
      <rPr>
        <sz val="10"/>
        <rFont val="WenQuanYi Zen Hei"/>
        <family val="2"/>
      </rPr>
      <t xml:space="preserve">部 新組織案／スライド</t>
    </r>
    <r>
      <rPr>
        <sz val="10"/>
        <rFont val="Meiryo UI"/>
        <family val="0"/>
        <charset val="1"/>
      </rPr>
      <t xml:space="preserve">5</t>
    </r>
    <r>
      <rPr>
        <sz val="10"/>
        <rFont val="WenQuanYi Zen Hei"/>
        <family val="2"/>
      </rPr>
      <t xml:space="preserve">〜</t>
    </r>
    <r>
      <rPr>
        <sz val="10"/>
        <rFont val="Meiryo UI"/>
        <family val="0"/>
        <charset val="1"/>
      </rPr>
      <t xml:space="preserve">8</t>
    </r>
    <r>
      <rPr>
        <sz val="10"/>
        <rFont val="WenQuanYi Zen Hei"/>
        <family val="2"/>
      </rPr>
      <t xml:space="preserve">）が含まれておらず、問題の前提（資料に記載がある）が崩れているため採点対象外</t>
    </r>
  </si>
  <si>
    <r>
      <rPr>
        <sz val="11"/>
        <color theme="1"/>
        <rFont val="WenQuanYi Zen Hei"/>
        <family val="2"/>
      </rPr>
      <t xml:space="preserve">資料には「第</t>
    </r>
    <r>
      <rPr>
        <sz val="11"/>
        <color theme="1"/>
        <rFont val="Calibri"/>
        <family val="2"/>
        <charset val="1"/>
      </rPr>
      <t xml:space="preserve">2</t>
    </r>
    <r>
      <rPr>
        <sz val="11"/>
        <color theme="1"/>
        <rFont val="WenQuanYi Zen Hei"/>
        <family val="2"/>
      </rPr>
      <t xml:space="preserve">部」というセクション（部構成）の記載がありません。
この資料はスライド</t>
    </r>
    <r>
      <rPr>
        <sz val="11"/>
        <color theme="1"/>
        <rFont val="Calibri"/>
        <family val="2"/>
        <charset val="1"/>
      </rPr>
      <t xml:space="preserve">1</t>
    </r>
    <r>
      <rPr>
        <sz val="11"/>
        <color theme="1"/>
        <rFont val="WenQuanYi Zen Hei"/>
        <family val="2"/>
      </rPr>
      <t xml:space="preserve">〜</t>
    </r>
    <r>
      <rPr>
        <sz val="11"/>
        <color theme="1"/>
        <rFont val="Calibri"/>
        <family val="2"/>
        <charset val="1"/>
      </rPr>
      <t xml:space="preserve">10</t>
    </r>
    <r>
      <rPr>
        <sz val="11"/>
        <color theme="1"/>
        <rFont val="WenQuanYi Zen Hei"/>
        <family val="2"/>
      </rPr>
      <t xml:space="preserve">が「スライド</t>
    </r>
    <r>
      <rPr>
        <sz val="11"/>
        <color theme="1"/>
        <rFont val="Calibri"/>
        <family val="2"/>
        <charset val="1"/>
      </rPr>
      <t xml:space="preserve">1</t>
    </r>
    <r>
      <rPr>
        <sz val="11"/>
        <color theme="1"/>
        <rFont val="WenQuanYi Zen Hei"/>
        <family val="2"/>
      </rPr>
      <t xml:space="preserve">：表紙」「スライド</t>
    </r>
    <r>
      <rPr>
        <sz val="11"/>
        <color theme="1"/>
        <rFont val="Calibri"/>
        <family val="2"/>
        <charset val="1"/>
      </rPr>
      <t xml:space="preserve">2</t>
    </r>
    <r>
      <rPr>
        <sz val="11"/>
        <color theme="1"/>
        <rFont val="WenQuanYi Zen Hei"/>
        <family val="2"/>
      </rPr>
      <t xml:space="preserve">：部門間の業務重複」…「スライド</t>
    </r>
    <r>
      <rPr>
        <sz val="11"/>
        <color theme="1"/>
        <rFont val="Calibri"/>
        <family val="2"/>
        <charset val="1"/>
      </rPr>
      <t xml:space="preserve">10</t>
    </r>
    <r>
      <rPr>
        <sz val="11"/>
        <color theme="1"/>
        <rFont val="WenQuanYi Zen Hei"/>
        <family val="2"/>
      </rPr>
      <t xml:space="preserve">：決裁事項とスケジュール」と順番に並んでいるだけで、「第</t>
    </r>
    <r>
      <rPr>
        <sz val="11"/>
        <color theme="1"/>
        <rFont val="Calibri"/>
        <family val="2"/>
        <charset val="1"/>
      </rPr>
      <t xml:space="preserve">1</t>
    </r>
    <r>
      <rPr>
        <sz val="11"/>
        <color theme="1"/>
        <rFont val="WenQuanYi Zen Hei"/>
        <family val="2"/>
      </rPr>
      <t xml:space="preserve">部」「第</t>
    </r>
    <r>
      <rPr>
        <sz val="11"/>
        <color theme="1"/>
        <rFont val="Calibri"/>
        <family val="2"/>
        <charset val="1"/>
      </rPr>
      <t xml:space="preserve">2</t>
    </r>
    <r>
      <rPr>
        <sz val="11"/>
        <color theme="1"/>
        <rFont val="WenQuanYi Zen Hei"/>
        <family val="2"/>
      </rPr>
      <t xml:space="preserve">部」といった部の区分やセクション名は書かれていません。そのため、「第</t>
    </r>
    <r>
      <rPr>
        <sz val="11"/>
        <color theme="1"/>
        <rFont val="Calibri"/>
        <family val="2"/>
        <charset val="1"/>
      </rPr>
      <t xml:space="preserve">2</t>
    </r>
    <r>
      <rPr>
        <sz val="11"/>
        <color theme="1"/>
        <rFont val="WenQuanYi Zen Hei"/>
        <family val="2"/>
      </rPr>
      <t xml:space="preserve">部」のセクション名とスライドの範囲は資料からは答えられません。</t>
    </r>
  </si>
  <si>
    <t xml:space="preserve">09-02</t>
  </si>
  <si>
    <r>
      <rPr>
        <sz val="10"/>
        <rFont val="Meiryo UI"/>
        <family val="0"/>
        <charset val="1"/>
      </rPr>
      <t xml:space="preserve">3</t>
    </r>
    <r>
      <rPr>
        <sz val="10"/>
        <rFont val="WenQuanYi Zen Hei"/>
        <family val="2"/>
      </rPr>
      <t xml:space="preserve">部門すべてで重複している業務は何件ですか？</t>
    </r>
  </si>
  <si>
    <r>
      <rPr>
        <sz val="10"/>
        <rFont val="Meiryo UI"/>
        <family val="0"/>
        <charset val="1"/>
      </rPr>
      <t xml:space="preserve">5</t>
    </r>
    <r>
      <rPr>
        <sz val="10"/>
        <rFont val="WenQuanYi Zen Hei"/>
        <family val="2"/>
      </rPr>
      <t xml:space="preserve">件</t>
    </r>
  </si>
  <si>
    <r>
      <rPr>
        <sz val="10"/>
        <rFont val="WenQuanYi Zen Hei"/>
        <family val="2"/>
      </rPr>
      <t xml:space="preserve">【図解（ベン図）】</t>
    </r>
    <r>
      <rPr>
        <sz val="10"/>
        <rFont val="Noto Sans CJK SC"/>
        <family val="2"/>
        <charset val="1"/>
      </rPr>
      <t xml:space="preserve">P2 </t>
    </r>
    <r>
      <rPr>
        <sz val="10"/>
        <rFont val="WenQuanYi Zen Hei"/>
        <family val="2"/>
      </rPr>
      <t xml:space="preserve">円の重なりの中央</t>
    </r>
  </si>
  <si>
    <r>
      <rPr>
        <sz val="11"/>
        <color theme="1"/>
        <rFont val="Calibri"/>
        <family val="2"/>
        <charset val="1"/>
      </rPr>
      <t xml:space="preserve">3</t>
    </r>
    <r>
      <rPr>
        <sz val="11"/>
        <color theme="1"/>
        <rFont val="WenQuanYi Zen Hei"/>
        <family val="2"/>
      </rPr>
      <t xml:space="preserve">部門すべてで重複している業務は</t>
    </r>
    <r>
      <rPr>
        <sz val="11"/>
        <color theme="1"/>
        <rFont val="Calibri"/>
        <family val="2"/>
        <charset val="1"/>
      </rPr>
      <t xml:space="preserve">5</t>
    </r>
    <r>
      <rPr>
        <sz val="11"/>
        <color theme="1"/>
        <rFont val="WenQuanYi Zen Hei"/>
        <family val="2"/>
      </rPr>
      <t xml:space="preserve">件です（スライド</t>
    </r>
    <r>
      <rPr>
        <sz val="11"/>
        <color theme="1"/>
        <rFont val="Calibri"/>
        <family val="2"/>
        <charset val="1"/>
      </rPr>
      <t xml:space="preserve">2</t>
    </r>
    <r>
      <rPr>
        <sz val="11"/>
        <color theme="1"/>
        <rFont val="WenQuanYi Zen Hei"/>
        <family val="2"/>
      </rPr>
      <t xml:space="preserve">のベン図より）。</t>
    </r>
  </si>
  <si>
    <t xml:space="preserve">09-03</t>
  </si>
  <si>
    <r>
      <rPr>
        <sz val="10"/>
        <rFont val="WenQuanYi Zen Hei"/>
        <family val="2"/>
      </rPr>
      <t xml:space="preserve">営業部と</t>
    </r>
    <r>
      <rPr>
        <sz val="10"/>
        <rFont val="Noto Sans CJK SC"/>
        <family val="2"/>
        <charset val="1"/>
      </rPr>
      <t xml:space="preserve">CS</t>
    </r>
    <r>
      <rPr>
        <sz val="10"/>
        <rFont val="WenQuanYi Zen Hei"/>
        <family val="2"/>
      </rPr>
      <t xml:space="preserve">部の</t>
    </r>
    <r>
      <rPr>
        <sz val="10"/>
        <rFont val="Noto Sans CJK SC"/>
        <family val="2"/>
        <charset val="1"/>
      </rPr>
      <t xml:space="preserve">2</t>
    </r>
    <r>
      <rPr>
        <sz val="10"/>
        <rFont val="WenQuanYi Zen Hei"/>
        <family val="2"/>
      </rPr>
      <t xml:space="preserve">部門だけで重複している業務は何件ですか？</t>
    </r>
  </si>
  <si>
    <r>
      <rPr>
        <sz val="10"/>
        <rFont val="Meiryo UI"/>
        <family val="0"/>
        <charset val="1"/>
      </rPr>
      <t xml:space="preserve">9</t>
    </r>
    <r>
      <rPr>
        <sz val="10"/>
        <rFont val="WenQuanYi Zen Hei"/>
        <family val="2"/>
      </rPr>
      <t xml:space="preserve">件</t>
    </r>
  </si>
  <si>
    <r>
      <rPr>
        <sz val="10"/>
        <rFont val="WenQuanYi Zen Hei"/>
        <family val="2"/>
      </rPr>
      <t xml:space="preserve">【図解（ベン図）】</t>
    </r>
    <r>
      <rPr>
        <sz val="10"/>
        <rFont val="Noto Sans CJK SC"/>
        <family val="2"/>
        <charset val="1"/>
      </rPr>
      <t xml:space="preserve">P2 </t>
    </r>
    <r>
      <rPr>
        <sz val="10"/>
        <rFont val="WenQuanYi Zen Hei"/>
        <family val="2"/>
      </rPr>
      <t xml:space="preserve">ベン図の位置</t>
    </r>
  </si>
  <si>
    <r>
      <rPr>
        <sz val="11"/>
        <color theme="1"/>
        <rFont val="WenQuanYi Zen Hei"/>
        <family val="2"/>
      </rPr>
      <t xml:space="preserve">営業部と</t>
    </r>
    <r>
      <rPr>
        <sz val="11"/>
        <color theme="1"/>
        <rFont val="Calibri"/>
        <family val="2"/>
        <charset val="1"/>
      </rPr>
      <t xml:space="preserve">CS</t>
    </r>
    <r>
      <rPr>
        <sz val="11"/>
        <color theme="1"/>
        <rFont val="WenQuanYi Zen Hei"/>
        <family val="2"/>
      </rPr>
      <t xml:space="preserve">部の</t>
    </r>
    <r>
      <rPr>
        <sz val="11"/>
        <color theme="1"/>
        <rFont val="Calibri"/>
        <family val="2"/>
        <charset val="1"/>
      </rPr>
      <t xml:space="preserve">2</t>
    </r>
    <r>
      <rPr>
        <sz val="11"/>
        <color theme="1"/>
        <rFont val="WenQuanYi Zen Hei"/>
        <family val="2"/>
      </rPr>
      <t xml:space="preserve">部門だけで重複している業務は</t>
    </r>
    <r>
      <rPr>
        <sz val="11"/>
        <color theme="1"/>
        <rFont val="Calibri"/>
        <family val="2"/>
        <charset val="1"/>
      </rPr>
      <t xml:space="preserve">9</t>
    </r>
    <r>
      <rPr>
        <sz val="11"/>
        <color theme="1"/>
        <rFont val="WenQuanYi Zen Hei"/>
        <family val="2"/>
      </rPr>
      <t xml:space="preserve">件です（スライド</t>
    </r>
    <r>
      <rPr>
        <sz val="11"/>
        <color theme="1"/>
        <rFont val="Calibri"/>
        <family val="2"/>
        <charset val="1"/>
      </rPr>
      <t xml:space="preserve">2</t>
    </r>
    <r>
      <rPr>
        <sz val="11"/>
        <color theme="1"/>
        <rFont val="WenQuanYi Zen Hei"/>
        <family val="2"/>
      </rPr>
      <t xml:space="preserve">のベン図「営業部 ∩ </t>
    </r>
    <r>
      <rPr>
        <sz val="11"/>
        <color theme="1"/>
        <rFont val="Calibri"/>
        <family val="2"/>
        <charset val="1"/>
      </rPr>
      <t xml:space="preserve">CS</t>
    </r>
    <r>
      <rPr>
        <sz val="11"/>
        <color theme="1"/>
        <rFont val="WenQuanYi Zen Hei"/>
        <family val="2"/>
      </rPr>
      <t xml:space="preserve">部（</t>
    </r>
    <r>
      <rPr>
        <sz val="11"/>
        <color theme="1"/>
        <rFont val="Calibri"/>
        <family val="2"/>
        <charset val="1"/>
      </rPr>
      <t xml:space="preserve">2</t>
    </r>
    <r>
      <rPr>
        <sz val="11"/>
        <color theme="1"/>
        <rFont val="WenQuanYi Zen Hei"/>
        <family val="2"/>
      </rPr>
      <t xml:space="preserve">部門重複）」）。</t>
    </r>
    <r>
      <rPr>
        <sz val="11"/>
        <color theme="1"/>
        <rFont val="Calibri"/>
        <family val="2"/>
        <charset val="1"/>
      </rPr>
      <t xml:space="preserve">3</t>
    </r>
    <r>
      <rPr>
        <sz val="11"/>
        <color theme="1"/>
        <rFont val="WenQuanYi Zen Hei"/>
        <family val="2"/>
      </rPr>
      <t xml:space="preserve">部門すべてで重複している</t>
    </r>
    <r>
      <rPr>
        <sz val="11"/>
        <color theme="1"/>
        <rFont val="Calibri"/>
        <family val="2"/>
        <charset val="1"/>
      </rPr>
      <t xml:space="preserve">5</t>
    </r>
    <r>
      <rPr>
        <sz val="11"/>
        <color theme="1"/>
        <rFont val="WenQuanYi Zen Hei"/>
        <family val="2"/>
      </rPr>
      <t xml:space="preserve">件は含みません。</t>
    </r>
  </si>
  <si>
    <t xml:space="preserve">09-04</t>
  </si>
  <si>
    <t xml:space="preserve">営業部が他部門と重複して行っている業務は合計何件ですか？</t>
  </si>
  <si>
    <r>
      <rPr>
        <sz val="10"/>
        <rFont val="Meiryo UI"/>
        <family val="0"/>
        <charset val="1"/>
      </rPr>
      <t xml:space="preserve">26</t>
    </r>
    <r>
      <rPr>
        <sz val="10"/>
        <rFont val="WenQuanYi Zen Hei"/>
        <family val="2"/>
      </rPr>
      <t xml:space="preserve">件（</t>
    </r>
    <r>
      <rPr>
        <sz val="10"/>
        <rFont val="Meiryo UI"/>
        <family val="0"/>
        <charset val="1"/>
      </rPr>
      <t xml:space="preserve">12</t>
    </r>
    <r>
      <rPr>
        <sz val="10"/>
        <rFont val="WenQuanYi Zen Hei"/>
        <family val="2"/>
      </rPr>
      <t xml:space="preserve">＋</t>
    </r>
    <r>
      <rPr>
        <sz val="10"/>
        <rFont val="Meiryo UI"/>
        <family val="0"/>
        <charset val="1"/>
      </rPr>
      <t xml:space="preserve">9</t>
    </r>
    <r>
      <rPr>
        <sz val="10"/>
        <rFont val="WenQuanYi Zen Hei"/>
        <family val="2"/>
      </rPr>
      <t xml:space="preserve">＋</t>
    </r>
    <r>
      <rPr>
        <sz val="10"/>
        <rFont val="Meiryo UI"/>
        <family val="0"/>
        <charset val="1"/>
      </rPr>
      <t xml:space="preserve">5</t>
    </r>
    <r>
      <rPr>
        <sz val="10"/>
        <rFont val="WenQuanYi Zen Hei"/>
        <family val="2"/>
      </rPr>
      <t xml:space="preserve">）</t>
    </r>
  </si>
  <si>
    <r>
      <rPr>
        <sz val="10"/>
        <rFont val="WenQuanYi Zen Hei"/>
        <family val="2"/>
      </rPr>
      <t xml:space="preserve">【計算】</t>
    </r>
    <r>
      <rPr>
        <sz val="10"/>
        <rFont val="Noto Sans CJK SC"/>
        <family val="2"/>
        <charset val="1"/>
      </rPr>
      <t xml:space="preserve">P2 </t>
    </r>
    <r>
      <rPr>
        <sz val="10"/>
        <rFont val="WenQuanYi Zen Hei"/>
        <family val="2"/>
      </rPr>
      <t xml:space="preserve">ベン図</t>
    </r>
  </si>
  <si>
    <r>
      <rPr>
        <sz val="11"/>
        <color theme="1"/>
        <rFont val="WenQuanYi Zen Hei"/>
        <family val="2"/>
      </rPr>
      <t xml:space="preserve">営業部が他部門と重複して行っている業務は合計 </t>
    </r>
    <r>
      <rPr>
        <sz val="11"/>
        <color theme="1"/>
        <rFont val="Calibri"/>
        <family val="2"/>
        <charset val="1"/>
      </rPr>
      <t xml:space="preserve">**26</t>
    </r>
    <r>
      <rPr>
        <sz val="11"/>
        <color theme="1"/>
        <rFont val="WenQuanYi Zen Hei"/>
        <family val="2"/>
      </rPr>
      <t xml:space="preserve">件</t>
    </r>
    <r>
      <rPr>
        <sz val="11"/>
        <color theme="1"/>
        <rFont val="Calibri"/>
        <family val="2"/>
        <charset val="1"/>
      </rPr>
      <t xml:space="preserve">** </t>
    </r>
    <r>
      <rPr>
        <sz val="11"/>
        <color theme="1"/>
        <rFont val="WenQuanYi Zen Hei"/>
        <family val="2"/>
      </rPr>
      <t xml:space="preserve">です。
内訳（スライド</t>
    </r>
    <r>
      <rPr>
        <sz val="11"/>
        <color theme="1"/>
        <rFont val="Calibri"/>
        <family val="2"/>
        <charset val="1"/>
      </rPr>
      <t xml:space="preserve">2</t>
    </r>
    <r>
      <rPr>
        <sz val="11"/>
        <color theme="1"/>
        <rFont val="WenQuanYi Zen Hei"/>
        <family val="2"/>
      </rPr>
      <t xml:space="preserve">のベン図より）：
</t>
    </r>
    <r>
      <rPr>
        <sz val="11"/>
        <color theme="1"/>
        <rFont val="Calibri"/>
        <family val="2"/>
        <charset val="1"/>
      </rPr>
      <t xml:space="preserve">- </t>
    </r>
    <r>
      <rPr>
        <sz val="11"/>
        <color theme="1"/>
        <rFont val="WenQuanYi Zen Hei"/>
        <family val="2"/>
      </rPr>
      <t xml:space="preserve">営業部 ∩ マーケティング部（</t>
    </r>
    <r>
      <rPr>
        <sz val="11"/>
        <color theme="1"/>
        <rFont val="Calibri"/>
        <family val="2"/>
        <charset val="1"/>
      </rPr>
      <t xml:space="preserve">2</t>
    </r>
    <r>
      <rPr>
        <sz val="11"/>
        <color theme="1"/>
        <rFont val="WenQuanYi Zen Hei"/>
        <family val="2"/>
      </rPr>
      <t xml:space="preserve">部門重複）：</t>
    </r>
    <r>
      <rPr>
        <sz val="11"/>
        <color theme="1"/>
        <rFont val="Calibri"/>
        <family val="2"/>
        <charset val="1"/>
      </rPr>
      <t xml:space="preserve">12</t>
    </r>
    <r>
      <rPr>
        <sz val="11"/>
        <color theme="1"/>
        <rFont val="WenQuanYi Zen Hei"/>
        <family val="2"/>
      </rPr>
      <t xml:space="preserve">件
</t>
    </r>
    <r>
      <rPr>
        <sz val="11"/>
        <color theme="1"/>
        <rFont val="Calibri"/>
        <family val="2"/>
        <charset val="1"/>
      </rPr>
      <t xml:space="preserve">- </t>
    </r>
    <r>
      <rPr>
        <sz val="11"/>
        <color theme="1"/>
        <rFont val="WenQuanYi Zen Hei"/>
        <family val="2"/>
      </rPr>
      <t xml:space="preserve">営業部 ∩ </t>
    </r>
    <r>
      <rPr>
        <sz val="11"/>
        <color theme="1"/>
        <rFont val="Calibri"/>
        <family val="2"/>
        <charset val="1"/>
      </rPr>
      <t xml:space="preserve">CS</t>
    </r>
    <r>
      <rPr>
        <sz val="11"/>
        <color theme="1"/>
        <rFont val="WenQuanYi Zen Hei"/>
        <family val="2"/>
      </rPr>
      <t xml:space="preserve">部（</t>
    </r>
    <r>
      <rPr>
        <sz val="11"/>
        <color theme="1"/>
        <rFont val="Calibri"/>
        <family val="2"/>
        <charset val="1"/>
      </rPr>
      <t xml:space="preserve">2</t>
    </r>
    <r>
      <rPr>
        <sz val="11"/>
        <color theme="1"/>
        <rFont val="WenQuanYi Zen Hei"/>
        <family val="2"/>
      </rPr>
      <t xml:space="preserve">部門重複）：</t>
    </r>
    <r>
      <rPr>
        <sz val="11"/>
        <color theme="1"/>
        <rFont val="Calibri"/>
        <family val="2"/>
        <charset val="1"/>
      </rPr>
      <t xml:space="preserve">9</t>
    </r>
    <r>
      <rPr>
        <sz val="11"/>
        <color theme="1"/>
        <rFont val="WenQuanYi Zen Hei"/>
        <family val="2"/>
      </rPr>
      <t xml:space="preserve">件
</t>
    </r>
    <r>
      <rPr>
        <sz val="11"/>
        <color theme="1"/>
        <rFont val="Calibri"/>
        <family val="2"/>
        <charset val="1"/>
      </rPr>
      <t xml:space="preserve">- 3</t>
    </r>
    <r>
      <rPr>
        <sz val="11"/>
        <color theme="1"/>
        <rFont val="WenQuanYi Zen Hei"/>
        <family val="2"/>
      </rPr>
      <t xml:space="preserve">部門すべてで重複：</t>
    </r>
    <r>
      <rPr>
        <sz val="11"/>
        <color theme="1"/>
        <rFont val="Calibri"/>
        <family val="2"/>
        <charset val="1"/>
      </rPr>
      <t xml:space="preserve">5</t>
    </r>
    <r>
      <rPr>
        <sz val="11"/>
        <color theme="1"/>
        <rFont val="WenQuanYi Zen Hei"/>
        <family val="2"/>
      </rPr>
      <t xml:space="preserve">件
</t>
    </r>
    <r>
      <rPr>
        <sz val="11"/>
        <color theme="1"/>
        <rFont val="Calibri"/>
        <family val="2"/>
        <charset val="1"/>
      </rPr>
      <t xml:space="preserve">12 + 9 + 5 = 26</t>
    </r>
    <r>
      <rPr>
        <sz val="11"/>
        <color theme="1"/>
        <rFont val="WenQuanYi Zen Hei"/>
        <family val="2"/>
      </rPr>
      <t xml:space="preserve">件（営業部の関与件数</t>
    </r>
    <r>
      <rPr>
        <sz val="11"/>
        <color theme="1"/>
        <rFont val="Calibri"/>
        <family val="2"/>
        <charset val="1"/>
      </rPr>
      <t xml:space="preserve">44</t>
    </r>
    <r>
      <rPr>
        <sz val="11"/>
        <color theme="1"/>
        <rFont val="WenQuanYi Zen Hei"/>
        <family val="2"/>
      </rPr>
      <t xml:space="preserve">件から営業部のみの</t>
    </r>
    <r>
      <rPr>
        <sz val="11"/>
        <color theme="1"/>
        <rFont val="Calibri"/>
        <family val="2"/>
        <charset val="1"/>
      </rPr>
      <t xml:space="preserve">18</t>
    </r>
    <r>
      <rPr>
        <sz val="11"/>
        <color theme="1"/>
        <rFont val="WenQuanYi Zen Hei"/>
        <family val="2"/>
      </rPr>
      <t xml:space="preserve">件を引いた数とも一致します）。</t>
    </r>
  </si>
  <si>
    <t xml:space="preserve">09-05</t>
  </si>
  <si>
    <t xml:space="preserve">『顧客情報が分散』のグループに属する付箋の内容をすべて答えてください。</t>
  </si>
  <si>
    <r>
      <rPr>
        <sz val="10"/>
        <rFont val="WenQuanYi Zen Hei"/>
        <family val="2"/>
      </rPr>
      <t xml:space="preserve">顧客リストが部署ごとに別／問い合わせ履歴が共有されない／同じ顧客に重複して連絡／</t>
    </r>
    <r>
      <rPr>
        <sz val="10"/>
        <rFont val="Noto Sans CJK SC"/>
        <family val="2"/>
        <charset val="1"/>
      </rPr>
      <t xml:space="preserve">Excel</t>
    </r>
    <r>
      <rPr>
        <sz val="10"/>
        <rFont val="WenQuanYi Zen Hei"/>
        <family val="2"/>
      </rPr>
      <t xml:space="preserve">管理が限界</t>
    </r>
  </si>
  <si>
    <r>
      <rPr>
        <sz val="10"/>
        <rFont val="WenQuanYi Zen Hei"/>
        <family val="2"/>
      </rPr>
      <t xml:space="preserve">【位置（親和図）】</t>
    </r>
    <r>
      <rPr>
        <sz val="10"/>
        <rFont val="Noto Sans CJK SC"/>
        <family val="2"/>
        <charset val="1"/>
      </rPr>
      <t xml:space="preserve">P3 </t>
    </r>
    <r>
      <rPr>
        <sz val="10"/>
        <rFont val="WenQuanYi Zen Hei"/>
        <family val="2"/>
      </rPr>
      <t xml:space="preserve">付箋の配置（グループ化なし・回転あり）</t>
    </r>
  </si>
  <si>
    <r>
      <rPr>
        <sz val="10"/>
        <rFont val="WenQuanYi Zen Hei"/>
        <family val="2"/>
      </rPr>
      <t xml:space="preserve">顧客リストが部署ごとに別／問い合わせ履歴が共有されない／同じ顧客に重複して連絡／</t>
    </r>
    <r>
      <rPr>
        <sz val="10"/>
        <rFont val="Meiryo UI"/>
        <family val="0"/>
        <charset val="1"/>
      </rPr>
      <t xml:space="preserve">Excel</t>
    </r>
    <r>
      <rPr>
        <sz val="10"/>
        <rFont val="WenQuanYi Zen Hei"/>
        <family val="2"/>
      </rPr>
      <t xml:space="preserve">管理が限界</t>
    </r>
  </si>
  <si>
    <r>
      <rPr>
        <sz val="11"/>
        <color theme="1"/>
        <rFont val="WenQuanYi Zen Hei"/>
        <family val="2"/>
      </rPr>
      <t xml:space="preserve">『顧客情報が分散』のグループに属する付箋は次の</t>
    </r>
    <r>
      <rPr>
        <sz val="11"/>
        <color theme="1"/>
        <rFont val="Calibri"/>
        <family val="2"/>
        <charset val="1"/>
      </rPr>
      <t xml:space="preserve">4</t>
    </r>
    <r>
      <rPr>
        <sz val="11"/>
        <color theme="1"/>
        <rFont val="WenQuanYi Zen Hei"/>
        <family val="2"/>
      </rPr>
      <t xml:space="preserve">枚です（スライド</t>
    </r>
    <r>
      <rPr>
        <sz val="11"/>
        <color theme="1"/>
        <rFont val="Calibri"/>
        <family val="2"/>
        <charset val="1"/>
      </rPr>
      <t xml:space="preserve">3</t>
    </r>
    <r>
      <rPr>
        <sz val="11"/>
        <color theme="1"/>
        <rFont val="WenQuanYi Zen Hei"/>
        <family val="2"/>
      </rPr>
      <t xml:space="preserve">：現場の声の親和図より）。
</t>
    </r>
    <r>
      <rPr>
        <sz val="11"/>
        <color theme="1"/>
        <rFont val="Calibri"/>
        <family val="2"/>
        <charset val="1"/>
      </rPr>
      <t xml:space="preserve">- </t>
    </r>
    <r>
      <rPr>
        <sz val="11"/>
        <color theme="1"/>
        <rFont val="WenQuanYi Zen Hei"/>
        <family val="2"/>
      </rPr>
      <t xml:space="preserve">顧客リストが部署ごとに別
</t>
    </r>
    <r>
      <rPr>
        <sz val="11"/>
        <color theme="1"/>
        <rFont val="Calibri"/>
        <family val="2"/>
        <charset val="1"/>
      </rPr>
      <t xml:space="preserve">- </t>
    </r>
    <r>
      <rPr>
        <sz val="11"/>
        <color theme="1"/>
        <rFont val="WenQuanYi Zen Hei"/>
        <family val="2"/>
      </rPr>
      <t xml:space="preserve">問い合わせ履歴が共有されない
</t>
    </r>
    <r>
      <rPr>
        <sz val="11"/>
        <color theme="1"/>
        <rFont val="Calibri"/>
        <family val="2"/>
        <charset val="1"/>
      </rPr>
      <t xml:space="preserve">- </t>
    </r>
    <r>
      <rPr>
        <sz val="11"/>
        <color theme="1"/>
        <rFont val="WenQuanYi Zen Hei"/>
        <family val="2"/>
      </rPr>
      <t xml:space="preserve">同じ顧客に重複して連絡
</t>
    </r>
    <r>
      <rPr>
        <sz val="11"/>
        <color theme="1"/>
        <rFont val="Calibri"/>
        <family val="2"/>
        <charset val="1"/>
      </rPr>
      <t xml:space="preserve">- Excel</t>
    </r>
    <r>
      <rPr>
        <sz val="11"/>
        <color theme="1"/>
        <rFont val="WenQuanYi Zen Hei"/>
        <family val="2"/>
      </rPr>
      <t xml:space="preserve">管理が限界</t>
    </r>
  </si>
  <si>
    <t xml:space="preserve">09-06</t>
  </si>
  <si>
    <t xml:space="preserve">付箋の枚数が最も少ないグループと、その枚数を答えてください。</t>
  </si>
  <si>
    <r>
      <rPr>
        <sz val="10"/>
        <rFont val="WenQuanYi Zen Hei"/>
        <family val="2"/>
      </rPr>
      <t xml:space="preserve">評価が不透明、</t>
    </r>
    <r>
      <rPr>
        <sz val="10"/>
        <rFont val="Noto Sans CJK SC"/>
        <family val="2"/>
        <charset val="1"/>
      </rPr>
      <t xml:space="preserve">2</t>
    </r>
    <r>
      <rPr>
        <sz val="10"/>
        <rFont val="WenQuanYi Zen Hei"/>
        <family val="2"/>
      </rPr>
      <t xml:space="preserve">枚</t>
    </r>
  </si>
  <si>
    <r>
      <rPr>
        <sz val="10"/>
        <rFont val="WenQuanYi Zen Hei"/>
        <family val="2"/>
      </rPr>
      <t xml:space="preserve">【位置（親和図）】</t>
    </r>
    <r>
      <rPr>
        <sz val="10"/>
        <rFont val="Noto Sans CJK SC"/>
        <family val="2"/>
        <charset val="1"/>
      </rPr>
      <t xml:space="preserve">P3 </t>
    </r>
    <r>
      <rPr>
        <sz val="10"/>
        <rFont val="WenQuanYi Zen Hei"/>
        <family val="2"/>
      </rPr>
      <t xml:space="preserve">付箋の配置</t>
    </r>
  </si>
  <si>
    <r>
      <rPr>
        <sz val="10"/>
        <rFont val="WenQuanYi Zen Hei"/>
        <family val="2"/>
      </rPr>
      <t xml:space="preserve">評価が不透明、</t>
    </r>
    <r>
      <rPr>
        <sz val="10"/>
        <rFont val="Meiryo UI"/>
        <family val="0"/>
        <charset val="1"/>
      </rPr>
      <t xml:space="preserve">2</t>
    </r>
    <r>
      <rPr>
        <sz val="10"/>
        <rFont val="WenQuanYi Zen Hei"/>
        <family val="2"/>
      </rPr>
      <t xml:space="preserve">枚</t>
    </r>
  </si>
  <si>
    <r>
      <rPr>
        <sz val="11"/>
        <color theme="1"/>
        <rFont val="WenQuanYi Zen Hei"/>
        <family val="2"/>
      </rPr>
      <t xml:space="preserve">付箋の枚数が最も少ないグループは「評価が不透明」で、付箋は</t>
    </r>
    <r>
      <rPr>
        <sz val="11"/>
        <color theme="1"/>
        <rFont val="Calibri"/>
        <family val="2"/>
        <charset val="1"/>
      </rPr>
      <t xml:space="preserve">2</t>
    </r>
    <r>
      <rPr>
        <sz val="11"/>
        <color theme="1"/>
        <rFont val="WenQuanYi Zen Hei"/>
        <family val="2"/>
      </rPr>
      <t xml:space="preserve">枚です（「評価基準が部署で違う」「成果が見えにくい」）。
参考：「意思決定が遅い」は</t>
    </r>
    <r>
      <rPr>
        <sz val="11"/>
        <color theme="1"/>
        <rFont val="Calibri"/>
        <family val="2"/>
        <charset val="1"/>
      </rPr>
      <t xml:space="preserve">3</t>
    </r>
    <r>
      <rPr>
        <sz val="11"/>
        <color theme="1"/>
        <rFont val="WenQuanYi Zen Hei"/>
        <family val="2"/>
      </rPr>
      <t xml:space="preserve">枚、「顧客情報が分散」は</t>
    </r>
    <r>
      <rPr>
        <sz val="11"/>
        <color theme="1"/>
        <rFont val="Calibri"/>
        <family val="2"/>
        <charset val="1"/>
      </rPr>
      <t xml:space="preserve">4</t>
    </r>
    <r>
      <rPr>
        <sz val="11"/>
        <color theme="1"/>
        <rFont val="WenQuanYi Zen Hei"/>
        <family val="2"/>
      </rPr>
      <t xml:space="preserve">枚です。</t>
    </r>
  </si>
  <si>
    <t xml:space="preserve">09-07</t>
  </si>
  <si>
    <r>
      <rPr>
        <sz val="10"/>
        <rFont val="Meiryo UI"/>
        <family val="0"/>
        <charset val="1"/>
      </rPr>
      <t xml:space="preserve">DX</t>
    </r>
    <r>
      <rPr>
        <sz val="10"/>
        <rFont val="WenQuanYi Zen Hei"/>
        <family val="2"/>
      </rPr>
      <t xml:space="preserve">成熟度の評価が最も低い部門と、その評価を答えてください。</t>
    </r>
  </si>
  <si>
    <r>
      <rPr>
        <sz val="10"/>
        <rFont val="Meiryo UI"/>
        <family val="0"/>
        <charset val="1"/>
      </rPr>
      <t xml:space="preserve">CS</t>
    </r>
    <r>
      <rPr>
        <sz val="10"/>
        <rFont val="WenQuanYi Zen Hei"/>
        <family val="2"/>
      </rPr>
      <t xml:space="preserve">部、★</t>
    </r>
    <r>
      <rPr>
        <sz val="10"/>
        <rFont val="Meiryo UI"/>
        <family val="0"/>
        <charset val="1"/>
      </rPr>
      <t xml:space="preserve">1</t>
    </r>
    <r>
      <rPr>
        <sz val="10"/>
        <rFont val="WenQuanYi Zen Hei"/>
        <family val="2"/>
      </rPr>
      <t xml:space="preserve">つ（</t>
    </r>
    <r>
      <rPr>
        <sz val="10"/>
        <rFont val="Meiryo UI"/>
        <family val="0"/>
        <charset val="1"/>
      </rPr>
      <t xml:space="preserve">5</t>
    </r>
    <r>
      <rPr>
        <sz val="10"/>
        <rFont val="WenQuanYi Zen Hei"/>
        <family val="2"/>
      </rPr>
      <t xml:space="preserve">段階中</t>
    </r>
    <r>
      <rPr>
        <sz val="10"/>
        <rFont val="Meiryo UI"/>
        <family val="0"/>
        <charset val="1"/>
      </rPr>
      <t xml:space="preserve">1</t>
    </r>
    <r>
      <rPr>
        <sz val="10"/>
        <rFont val="WenQuanYi Zen Hei"/>
        <family val="2"/>
      </rPr>
      <t xml:space="preserve">）</t>
    </r>
  </si>
  <si>
    <r>
      <rPr>
        <sz val="10"/>
        <rFont val="WenQuanYi Zen Hei"/>
        <family val="2"/>
      </rPr>
      <t xml:space="preserve">【画像（アイコン）】</t>
    </r>
    <r>
      <rPr>
        <sz val="10"/>
        <rFont val="Noto Sans CJK SC"/>
        <family val="2"/>
        <charset val="1"/>
      </rPr>
      <t xml:space="preserve">P4 </t>
    </r>
    <r>
      <rPr>
        <sz val="10"/>
        <rFont val="WenQuanYi Zen Hei"/>
        <family val="2"/>
      </rPr>
      <t xml:space="preserve">表のセルに重ねた星の画像</t>
    </r>
  </si>
  <si>
    <r>
      <rPr>
        <sz val="10"/>
        <rFont val="Meiryo UI"/>
        <family val="0"/>
        <charset val="1"/>
      </rPr>
      <t xml:space="preserve">CS</t>
    </r>
    <r>
      <rPr>
        <sz val="10"/>
        <rFont val="WenQuanYi Zen Hei"/>
        <family val="2"/>
      </rPr>
      <t xml:space="preserve">部、★</t>
    </r>
    <r>
      <rPr>
        <sz val="10"/>
        <rFont val="Meiryo UI"/>
        <family val="0"/>
        <charset val="1"/>
      </rPr>
      <t xml:space="preserve">1</t>
    </r>
    <r>
      <rPr>
        <sz val="10"/>
        <rFont val="WenQuanYi Zen Hei"/>
        <family val="2"/>
      </rPr>
      <t xml:space="preserve">つ（</t>
    </r>
    <r>
      <rPr>
        <sz val="10"/>
        <rFont val="Meiryo UI"/>
        <family val="0"/>
        <charset val="1"/>
      </rPr>
      <t xml:space="preserve">1/5</t>
    </r>
    <r>
      <rPr>
        <sz val="10"/>
        <rFont val="WenQuanYi Zen Hei"/>
        <family val="2"/>
      </rPr>
      <t xml:space="preserve">）</t>
    </r>
  </si>
  <si>
    <r>
      <rPr>
        <sz val="11"/>
        <color theme="1"/>
        <rFont val="Calibri"/>
        <family val="2"/>
        <charset val="1"/>
      </rPr>
      <t xml:space="preserve">DX</t>
    </r>
    <r>
      <rPr>
        <sz val="11"/>
        <color theme="1"/>
        <rFont val="WenQuanYi Zen Hei"/>
        <family val="2"/>
      </rPr>
      <t xml:space="preserve">成熟度の評価が最も低い部門は</t>
    </r>
    <r>
      <rPr>
        <sz val="11"/>
        <color theme="1"/>
        <rFont val="Calibri"/>
        <family val="2"/>
        <charset val="1"/>
      </rPr>
      <t xml:space="preserve">CS</t>
    </r>
    <r>
      <rPr>
        <sz val="11"/>
        <color theme="1"/>
        <rFont val="WenQuanYi Zen Hei"/>
        <family val="2"/>
      </rPr>
      <t xml:space="preserve">部で、評価は★</t>
    </r>
    <r>
      <rPr>
        <sz val="11"/>
        <color theme="1"/>
        <rFont val="Calibri"/>
        <family val="2"/>
        <charset val="1"/>
      </rPr>
      <t xml:space="preserve">1</t>
    </r>
    <r>
      <rPr>
        <sz val="11"/>
        <color theme="1"/>
        <rFont val="WenQuanYi Zen Hei"/>
        <family val="2"/>
      </rPr>
      <t xml:space="preserve">つ（</t>
    </r>
    <r>
      <rPr>
        <sz val="11"/>
        <color theme="1"/>
        <rFont val="Calibri"/>
        <family val="2"/>
        <charset val="1"/>
      </rPr>
      <t xml:space="preserve">1/5</t>
    </r>
    <r>
      <rPr>
        <sz val="11"/>
        <color theme="1"/>
        <rFont val="WenQuanYi Zen Hei"/>
        <family val="2"/>
      </rPr>
      <t xml:space="preserve">、★☆☆☆☆）です（</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9</t>
    </r>
    <r>
      <rPr>
        <sz val="11"/>
        <color theme="1"/>
        <rFont val="WenQuanYi Zen Hei"/>
        <family val="2"/>
      </rPr>
      <t xml:space="preserve">月 社内アセスメント、★</t>
    </r>
    <r>
      <rPr>
        <sz val="11"/>
        <color theme="1"/>
        <rFont val="Calibri"/>
        <family val="2"/>
        <charset val="1"/>
      </rPr>
      <t xml:space="preserve">5</t>
    </r>
    <r>
      <rPr>
        <sz val="11"/>
        <color theme="1"/>
        <rFont val="WenQuanYi Zen Hei"/>
        <family val="2"/>
      </rPr>
      <t xml:space="preserve">段階）。</t>
    </r>
  </si>
  <si>
    <t xml:space="preserve">09-08</t>
  </si>
  <si>
    <r>
      <rPr>
        <sz val="10"/>
        <rFont val="Meiryo UI"/>
        <family val="0"/>
        <charset val="1"/>
      </rPr>
      <t xml:space="preserve">DX</t>
    </r>
    <r>
      <rPr>
        <sz val="10"/>
        <rFont val="WenQuanYi Zen Hei"/>
        <family val="2"/>
      </rPr>
      <t xml:space="preserve">成熟度が星</t>
    </r>
    <r>
      <rPr>
        <sz val="10"/>
        <rFont val="Meiryo UI"/>
        <family val="0"/>
        <charset val="1"/>
      </rPr>
      <t xml:space="preserve">4</t>
    </r>
    <r>
      <rPr>
        <sz val="10"/>
        <rFont val="WenQuanYi Zen Hei"/>
        <family val="2"/>
      </rPr>
      <t xml:space="preserve">つの部門はどこですか？</t>
    </r>
  </si>
  <si>
    <t xml:space="preserve">マーケティング部</t>
  </si>
  <si>
    <r>
      <rPr>
        <sz val="10"/>
        <rFont val="WenQuanYi Zen Hei"/>
        <family val="2"/>
      </rPr>
      <t xml:space="preserve">【画像（アイコン）】</t>
    </r>
    <r>
      <rPr>
        <sz val="10"/>
        <rFont val="Noto Sans CJK SC"/>
        <family val="2"/>
        <charset val="1"/>
      </rPr>
      <t xml:space="preserve">P4 </t>
    </r>
    <r>
      <rPr>
        <sz val="10"/>
        <rFont val="WenQuanYi Zen Hei"/>
        <family val="2"/>
      </rPr>
      <t xml:space="preserve">星の画像の数</t>
    </r>
  </si>
  <si>
    <r>
      <rPr>
        <sz val="11"/>
        <color theme="1"/>
        <rFont val="Calibri"/>
        <family val="2"/>
        <charset val="1"/>
      </rPr>
      <t xml:space="preserve">DX</t>
    </r>
    <r>
      <rPr>
        <sz val="11"/>
        <color theme="1"/>
        <rFont val="WenQuanYi Zen Hei"/>
        <family val="2"/>
      </rPr>
      <t xml:space="preserve">成熟度が星</t>
    </r>
    <r>
      <rPr>
        <sz val="11"/>
        <color theme="1"/>
        <rFont val="Calibri"/>
        <family val="2"/>
        <charset val="1"/>
      </rPr>
      <t xml:space="preserve">4</t>
    </r>
    <r>
      <rPr>
        <sz val="11"/>
        <color theme="1"/>
        <rFont val="WenQuanYi Zen Hei"/>
        <family val="2"/>
      </rPr>
      <t xml:space="preserve">つ（★★★★☆、</t>
    </r>
    <r>
      <rPr>
        <sz val="11"/>
        <color theme="1"/>
        <rFont val="Calibri"/>
        <family val="2"/>
        <charset val="1"/>
      </rPr>
      <t xml:space="preserve">4/5</t>
    </r>
    <r>
      <rPr>
        <sz val="11"/>
        <color theme="1"/>
        <rFont val="WenQuanYi Zen Hei"/>
        <family val="2"/>
      </rPr>
      <t xml:space="preserve">）の部門は「マーケティング部」です（スライド</t>
    </r>
    <r>
      <rPr>
        <sz val="11"/>
        <color theme="1"/>
        <rFont val="Calibri"/>
        <family val="2"/>
        <charset val="1"/>
      </rPr>
      <t xml:space="preserve">4</t>
    </r>
    <r>
      <rPr>
        <sz val="11"/>
        <color theme="1"/>
        <rFont val="WenQuanYi Zen Hei"/>
        <family val="2"/>
      </rPr>
      <t xml:space="preserve">、</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9</t>
    </r>
    <r>
      <rPr>
        <sz val="11"/>
        <color theme="1"/>
        <rFont val="WenQuanYi Zen Hei"/>
        <family val="2"/>
      </rPr>
      <t xml:space="preserve">月 社内アセスメント）。</t>
    </r>
  </si>
  <si>
    <t xml:space="preserve">09-09</t>
  </si>
  <si>
    <t xml:space="preserve">新組織図で、兼務の関係にあるのはどの組織とどの組織ですか？</t>
  </si>
  <si>
    <t xml:space="preserve">データ戦略室とマーケティング部（データ戦略室の小野室長がマーケティング部長を兼ねる）</t>
  </si>
  <si>
    <r>
      <rPr>
        <sz val="10"/>
        <rFont val="WenQuanYi Zen Hei"/>
        <family val="2"/>
      </rPr>
      <t xml:space="preserve">【図解（線種）】</t>
    </r>
    <r>
      <rPr>
        <sz val="10"/>
        <rFont val="Noto Sans CJK SC"/>
        <family val="2"/>
        <charset val="1"/>
      </rPr>
      <t xml:space="preserve">P5 </t>
    </r>
    <r>
      <rPr>
        <sz val="10"/>
        <rFont val="WenQuanYi Zen Hei"/>
        <family val="2"/>
      </rPr>
      <t xml:space="preserve">破線のコネクタ＋凡例</t>
    </r>
  </si>
  <si>
    <t xml:space="preserve">データ戦略室とマーケティング部（小野室長が部長を兼務）</t>
  </si>
  <si>
    <r>
      <rPr>
        <sz val="11"/>
        <color theme="1"/>
        <rFont val="WenQuanYi Zen Hei"/>
        <family val="2"/>
      </rPr>
      <t xml:space="preserve">新組織図（スライド</t>
    </r>
    <r>
      <rPr>
        <sz val="11"/>
        <color theme="1"/>
        <rFont val="Calibri"/>
        <family val="2"/>
        <charset val="1"/>
      </rPr>
      <t xml:space="preserve">5</t>
    </r>
    <r>
      <rPr>
        <sz val="11"/>
        <color theme="1"/>
        <rFont val="WenQuanYi Zen Hei"/>
        <family val="2"/>
      </rPr>
      <t xml:space="preserve">）で兼務の関係にあるのは、「データ戦略室」と「マーケティング部」です。
図ではこの</t>
    </r>
    <r>
      <rPr>
        <sz val="11"/>
        <color theme="1"/>
        <rFont val="Calibri"/>
        <family val="2"/>
        <charset val="1"/>
      </rPr>
      <t xml:space="preserve">2</t>
    </r>
    <r>
      <rPr>
        <sz val="11"/>
        <color theme="1"/>
        <rFont val="WenQuanYi Zen Hei"/>
        <family val="2"/>
      </rPr>
      <t xml:space="preserve">つの組織がオレンジの破線で結ばれています。凡例によると、破線は「兼務（室長が部長を兼ねる）」を表します。つまり、データ戦略室長の小野氏がマーケティング部長を兼ねています。
なお、この兼務はスライド本文に文章で書かれているわけではありません。図の線の位置から読み取ったものです。</t>
    </r>
  </si>
  <si>
    <t xml:space="preserve">09-10</t>
  </si>
  <si>
    <t xml:space="preserve">データ戦略室はどの本部の下に置かれますか？本部長は誰ですか？</t>
  </si>
  <si>
    <t xml:space="preserve">技術本部（本部長 三浦）</t>
  </si>
  <si>
    <r>
      <rPr>
        <sz val="10"/>
        <rFont val="WenQuanYi Zen Hei"/>
        <family val="2"/>
      </rPr>
      <t xml:space="preserve">【図解（組織図）】</t>
    </r>
    <r>
      <rPr>
        <sz val="10"/>
        <rFont val="Noto Sans CJK SC"/>
        <family val="2"/>
        <charset val="1"/>
      </rPr>
      <t xml:space="preserve">P5 </t>
    </r>
    <r>
      <rPr>
        <sz val="10"/>
        <rFont val="WenQuanYi Zen Hei"/>
        <family val="2"/>
      </rPr>
      <t xml:space="preserve">コネクタ</t>
    </r>
  </si>
  <si>
    <t xml:space="preserve">技術本部、本部長 三浦</t>
  </si>
  <si>
    <t xml:space="preserve">データ戦略室は技術本部の下に置かれます。技術本部の本部長は三浦です。（なお、データ戦略室の室長は小野です。）</t>
  </si>
  <si>
    <t xml:space="preserve">09-11</t>
  </si>
  <si>
    <r>
      <rPr>
        <sz val="10"/>
        <rFont val="WenQuanYi Zen Hei"/>
        <family val="2"/>
      </rPr>
      <t xml:space="preserve">データ戦略室が</t>
    </r>
    <r>
      <rPr>
        <sz val="10"/>
        <rFont val="Noto Sans CJK SC"/>
        <family val="2"/>
        <charset val="1"/>
      </rPr>
      <t xml:space="preserve">A</t>
    </r>
    <r>
      <rPr>
        <sz val="10"/>
        <rFont val="WenQuanYi Zen Hei"/>
        <family val="2"/>
      </rPr>
      <t xml:space="preserve">（説明責任）を持つ業務は何ですか？</t>
    </r>
  </si>
  <si>
    <t xml:space="preserve">顧客データ基盤の運用</t>
  </si>
  <si>
    <r>
      <rPr>
        <sz val="10"/>
        <rFont val="WenQuanYi Zen Hei"/>
        <family val="2"/>
      </rPr>
      <t xml:space="preserve">【表（</t>
    </r>
    <r>
      <rPr>
        <sz val="10"/>
        <rFont val="Noto Sans CJK SC"/>
        <family val="2"/>
        <charset val="1"/>
      </rPr>
      <t xml:space="preserve">RACI</t>
    </r>
    <r>
      <rPr>
        <sz val="10"/>
        <rFont val="WenQuanYi Zen Hei"/>
        <family val="2"/>
      </rPr>
      <t xml:space="preserve">）】</t>
    </r>
    <r>
      <rPr>
        <sz val="10"/>
        <rFont val="Noto Sans CJK SC"/>
        <family val="2"/>
        <charset val="1"/>
      </rPr>
      <t xml:space="preserve">P6 RACI</t>
    </r>
    <r>
      <rPr>
        <sz val="10"/>
        <rFont val="WenQuanYi Zen Hei"/>
        <family val="2"/>
      </rPr>
      <t xml:space="preserve">表</t>
    </r>
  </si>
  <si>
    <r>
      <rPr>
        <sz val="11"/>
        <color theme="1"/>
        <rFont val="WenQuanYi Zen Hei"/>
        <family val="2"/>
      </rPr>
      <t xml:space="preserve">データ戦略室が</t>
    </r>
    <r>
      <rPr>
        <sz val="11"/>
        <color theme="1"/>
        <rFont val="Calibri"/>
        <family val="2"/>
        <charset val="1"/>
      </rPr>
      <t xml:space="preserve">A</t>
    </r>
    <r>
      <rPr>
        <sz val="11"/>
        <color theme="1"/>
        <rFont val="WenQuanYi Zen Hei"/>
        <family val="2"/>
      </rPr>
      <t xml:space="preserve">（説明責任）を持つ業務は「顧客データ基盤の運用」（データ区分）の</t>
    </r>
    <r>
      <rPr>
        <sz val="11"/>
        <color theme="1"/>
        <rFont val="Calibri"/>
        <family val="2"/>
        <charset val="1"/>
      </rPr>
      <t xml:space="preserve">1</t>
    </r>
    <r>
      <rPr>
        <sz val="11"/>
        <color theme="1"/>
        <rFont val="WenQuanYi Zen Hei"/>
        <family val="2"/>
      </rPr>
      <t xml:space="preserve">件です。
（スライド</t>
    </r>
    <r>
      <rPr>
        <sz val="11"/>
        <color theme="1"/>
        <rFont val="Calibri"/>
        <family val="2"/>
        <charset val="1"/>
      </rPr>
      <t xml:space="preserve">6</t>
    </r>
    <r>
      <rPr>
        <sz val="11"/>
        <color theme="1"/>
        <rFont val="WenQuanYi Zen Hei"/>
        <family val="2"/>
      </rPr>
      <t xml:space="preserve">の</t>
    </r>
    <r>
      <rPr>
        <sz val="11"/>
        <color theme="1"/>
        <rFont val="Calibri"/>
        <family val="2"/>
        <charset val="1"/>
      </rPr>
      <t xml:space="preserve">RACI</t>
    </r>
    <r>
      <rPr>
        <sz val="11"/>
        <color theme="1"/>
        <rFont val="WenQuanYi Zen Hei"/>
        <family val="2"/>
      </rPr>
      <t xml:space="preserve">表より。なお同じデータ区分の「</t>
    </r>
    <r>
      <rPr>
        <sz val="11"/>
        <color theme="1"/>
        <rFont val="Calibri"/>
        <family val="2"/>
        <charset val="1"/>
      </rPr>
      <t xml:space="preserve">KPI</t>
    </r>
    <r>
      <rPr>
        <sz val="11"/>
        <color theme="1"/>
        <rFont val="WenQuanYi Zen Hei"/>
        <family val="2"/>
      </rPr>
      <t xml:space="preserve">レポーティング」は、データ戦略室は</t>
    </r>
    <r>
      <rPr>
        <sz val="11"/>
        <color theme="1"/>
        <rFont val="Calibri"/>
        <family val="2"/>
        <charset val="1"/>
      </rPr>
      <t xml:space="preserve">R</t>
    </r>
    <r>
      <rPr>
        <sz val="11"/>
        <color theme="1"/>
        <rFont val="WenQuanYi Zen Hei"/>
        <family val="2"/>
      </rPr>
      <t xml:space="preserve">（実行責任）で、</t>
    </r>
    <r>
      <rPr>
        <sz val="11"/>
        <color theme="1"/>
        <rFont val="Calibri"/>
        <family val="2"/>
        <charset val="1"/>
      </rPr>
      <t xml:space="preserve">A</t>
    </r>
    <r>
      <rPr>
        <sz val="11"/>
        <color theme="1"/>
        <rFont val="WenQuanYi Zen Hei"/>
        <family val="2"/>
      </rPr>
      <t xml:space="preserve">（説明責任）は経営企画部となっています。キーメッセージ「データ関連業務の説明責任をデータ戦略室に集約する」とは食い違いがあり、資料上も要確認とされています。）</t>
    </r>
  </si>
  <si>
    <t xml:space="preserve">09-12</t>
  </si>
  <si>
    <r>
      <rPr>
        <sz val="10"/>
        <rFont val="WenQuanYi Zen Hei"/>
        <family val="2"/>
      </rPr>
      <t xml:space="preserve">『予算策定』の実行責任（</t>
    </r>
    <r>
      <rPr>
        <sz val="10"/>
        <rFont val="Noto Sans CJK SC"/>
        <family val="2"/>
        <charset val="1"/>
      </rPr>
      <t xml:space="preserve">R</t>
    </r>
    <r>
      <rPr>
        <sz val="10"/>
        <rFont val="WenQuanYi Zen Hei"/>
        <family val="2"/>
      </rPr>
      <t xml:space="preserve">）を持つのはどこですか？</t>
    </r>
  </si>
  <si>
    <r>
      <rPr>
        <sz val="10"/>
        <rFont val="WenQuanYi Zen Hei"/>
        <family val="2"/>
      </rPr>
      <t xml:space="preserve">経営企画部（</t>
    </r>
    <r>
      <rPr>
        <sz val="10"/>
        <rFont val="Noto Sans CJK SC"/>
        <family val="2"/>
        <charset val="1"/>
      </rPr>
      <t xml:space="preserve">A/R</t>
    </r>
    <r>
      <rPr>
        <sz val="10"/>
        <rFont val="WenQuanYi Zen Hei"/>
        <family val="2"/>
      </rPr>
      <t xml:space="preserve">）</t>
    </r>
  </si>
  <si>
    <r>
      <rPr>
        <sz val="10"/>
        <rFont val="WenQuanYi Zen Hei"/>
        <family val="2"/>
      </rPr>
      <t xml:space="preserve">経営企画部（</t>
    </r>
    <r>
      <rPr>
        <sz val="10"/>
        <rFont val="Meiryo UI"/>
        <family val="0"/>
        <charset val="1"/>
      </rPr>
      <t xml:space="preserve">A/R</t>
    </r>
    <r>
      <rPr>
        <sz val="10"/>
        <rFont val="WenQuanYi Zen Hei"/>
        <family val="2"/>
      </rPr>
      <t xml:space="preserve">）</t>
    </r>
  </si>
  <si>
    <r>
      <rPr>
        <sz val="11"/>
        <color theme="1"/>
        <rFont val="WenQuanYi Zen Hei"/>
        <family val="2"/>
      </rPr>
      <t xml:space="preserve">『予算策定』の実行責任（</t>
    </r>
    <r>
      <rPr>
        <sz val="11"/>
        <color theme="1"/>
        <rFont val="Calibri"/>
        <family val="2"/>
        <charset val="1"/>
      </rPr>
      <t xml:space="preserve">R</t>
    </r>
    <r>
      <rPr>
        <sz val="11"/>
        <color theme="1"/>
        <rFont val="WenQuanYi Zen Hei"/>
        <family val="2"/>
      </rPr>
      <t xml:space="preserve">）を持つのは</t>
    </r>
    <r>
      <rPr>
        <sz val="11"/>
        <color theme="1"/>
        <rFont val="Calibri"/>
        <family val="2"/>
        <charset val="1"/>
      </rPr>
      <t xml:space="preserve">**</t>
    </r>
    <r>
      <rPr>
        <sz val="11"/>
        <color theme="1"/>
        <rFont val="WenQuanYi Zen Hei"/>
        <family val="2"/>
      </rPr>
      <t xml:space="preserve">経営企画部</t>
    </r>
    <r>
      <rPr>
        <sz val="11"/>
        <color theme="1"/>
        <rFont val="Calibri"/>
        <family val="2"/>
        <charset val="1"/>
      </rPr>
      <t xml:space="preserve">**</t>
    </r>
    <r>
      <rPr>
        <sz val="11"/>
        <color theme="1"/>
        <rFont val="WenQuanYi Zen Hei"/>
        <family val="2"/>
      </rPr>
      <t xml:space="preserve">です。
スライド</t>
    </r>
    <r>
      <rPr>
        <sz val="11"/>
        <color theme="1"/>
        <rFont val="Calibri"/>
        <family val="2"/>
        <charset val="1"/>
      </rPr>
      <t xml:space="preserve">6</t>
    </r>
    <r>
      <rPr>
        <sz val="11"/>
        <color theme="1"/>
        <rFont val="WenQuanYi Zen Hei"/>
        <family val="2"/>
      </rPr>
      <t xml:space="preserve">の役割分担（</t>
    </r>
    <r>
      <rPr>
        <sz val="11"/>
        <color theme="1"/>
        <rFont val="Calibri"/>
        <family val="2"/>
        <charset val="1"/>
      </rPr>
      <t xml:space="preserve">RACI</t>
    </r>
    <r>
      <rPr>
        <sz val="11"/>
        <color theme="1"/>
        <rFont val="WenQuanYi Zen Hei"/>
        <family val="2"/>
      </rPr>
      <t xml:space="preserve">）表で、「予算策定」の行は経営企画部が「</t>
    </r>
    <r>
      <rPr>
        <sz val="11"/>
        <color theme="1"/>
        <rFont val="Calibri"/>
        <family val="2"/>
        <charset val="1"/>
      </rPr>
      <t xml:space="preserve">A/R</t>
    </r>
    <r>
      <rPr>
        <sz val="11"/>
        <color theme="1"/>
        <rFont val="WenQuanYi Zen Hei"/>
        <family val="2"/>
      </rPr>
      <t xml:space="preserve">」となっており、説明責任（</t>
    </r>
    <r>
      <rPr>
        <sz val="11"/>
        <color theme="1"/>
        <rFont val="Calibri"/>
        <family val="2"/>
        <charset val="1"/>
      </rPr>
      <t xml:space="preserve">A</t>
    </r>
    <r>
      <rPr>
        <sz val="11"/>
        <color theme="1"/>
        <rFont val="WenQuanYi Zen Hei"/>
        <family val="2"/>
      </rPr>
      <t xml:space="preserve">）と実行責任（</t>
    </r>
    <r>
      <rPr>
        <sz val="11"/>
        <color theme="1"/>
        <rFont val="Calibri"/>
        <family val="2"/>
        <charset val="1"/>
      </rPr>
      <t xml:space="preserve">R</t>
    </r>
    <r>
      <rPr>
        <sz val="11"/>
        <color theme="1"/>
        <rFont val="WenQuanYi Zen Hei"/>
        <family val="2"/>
      </rPr>
      <t xml:space="preserve">）の両方を経営企画部が担っています。なお、事業本部・技術本部は</t>
    </r>
    <r>
      <rPr>
        <sz val="11"/>
        <color theme="1"/>
        <rFont val="Calibri"/>
        <family val="2"/>
        <charset val="1"/>
      </rPr>
      <t xml:space="preserve">C</t>
    </r>
    <r>
      <rPr>
        <sz val="11"/>
        <color theme="1"/>
        <rFont val="WenQuanYi Zen Hei"/>
        <family val="2"/>
      </rPr>
      <t xml:space="preserve">（協議先）、データ戦略室は</t>
    </r>
    <r>
      <rPr>
        <sz val="11"/>
        <color theme="1"/>
        <rFont val="Calibri"/>
        <family val="2"/>
        <charset val="1"/>
      </rPr>
      <t xml:space="preserve">I</t>
    </r>
    <r>
      <rPr>
        <sz val="11"/>
        <color theme="1"/>
        <rFont val="WenQuanYi Zen Hei"/>
        <family val="2"/>
      </rPr>
      <t xml:space="preserve">（報告先）です。</t>
    </r>
  </si>
  <si>
    <t xml:space="preserve">09-13</t>
  </si>
  <si>
    <t xml:space="preserve">『データ』区分に含まれる業務をすべて答えてください。</t>
  </si>
  <si>
    <r>
      <rPr>
        <sz val="10"/>
        <rFont val="WenQuanYi Zen Hei"/>
        <family val="2"/>
      </rPr>
      <t xml:space="preserve">顧客データ基盤の運用、</t>
    </r>
    <r>
      <rPr>
        <sz val="10"/>
        <rFont val="Noto Sans CJK SC"/>
        <family val="2"/>
        <charset val="1"/>
      </rPr>
      <t xml:space="preserve">KPI</t>
    </r>
    <r>
      <rPr>
        <sz val="10"/>
        <rFont val="WenQuanYi Zen Hei"/>
        <family val="2"/>
      </rPr>
      <t xml:space="preserve">レポーティング</t>
    </r>
  </si>
  <si>
    <r>
      <rPr>
        <sz val="10"/>
        <rFont val="WenQuanYi Zen Hei"/>
        <family val="2"/>
      </rPr>
      <t xml:space="preserve">顧客データ基盤の運用、</t>
    </r>
    <r>
      <rPr>
        <sz val="10"/>
        <rFont val="Meiryo UI"/>
        <family val="0"/>
        <charset val="1"/>
      </rPr>
      <t xml:space="preserve">KPI</t>
    </r>
    <r>
      <rPr>
        <sz val="10"/>
        <rFont val="WenQuanYi Zen Hei"/>
        <family val="2"/>
      </rPr>
      <t xml:space="preserve">レポーティング</t>
    </r>
  </si>
  <si>
    <r>
      <rPr>
        <sz val="11"/>
        <color theme="1"/>
        <rFont val="WenQuanYi Zen Hei"/>
        <family val="2"/>
      </rPr>
      <t xml:space="preserve">『データ』区分に含まれる業務は次の</t>
    </r>
    <r>
      <rPr>
        <sz val="11"/>
        <color theme="1"/>
        <rFont val="Calibri"/>
        <family val="2"/>
        <charset val="1"/>
      </rPr>
      <t xml:space="preserve">2</t>
    </r>
    <r>
      <rPr>
        <sz val="11"/>
        <color theme="1"/>
        <rFont val="WenQuanYi Zen Hei"/>
        <family val="2"/>
      </rPr>
      <t xml:space="preserve">つです（スライド</t>
    </r>
    <r>
      <rPr>
        <sz val="11"/>
        <color theme="1"/>
        <rFont val="Calibri"/>
        <family val="2"/>
        <charset val="1"/>
      </rPr>
      <t xml:space="preserve">6</t>
    </r>
    <r>
      <rPr>
        <sz val="11"/>
        <color theme="1"/>
        <rFont val="WenQuanYi Zen Hei"/>
        <family val="2"/>
      </rPr>
      <t xml:space="preserve">：役割分担（</t>
    </r>
    <r>
      <rPr>
        <sz val="11"/>
        <color theme="1"/>
        <rFont val="Calibri"/>
        <family val="2"/>
        <charset val="1"/>
      </rPr>
      <t xml:space="preserve">RACI</t>
    </r>
    <r>
      <rPr>
        <sz val="11"/>
        <color theme="1"/>
        <rFont val="WenQuanYi Zen Hei"/>
        <family val="2"/>
      </rPr>
      <t xml:space="preserve">））。
</t>
    </r>
    <r>
      <rPr>
        <sz val="11"/>
        <color theme="1"/>
        <rFont val="Calibri"/>
        <family val="2"/>
        <charset val="1"/>
      </rPr>
      <t xml:space="preserve">1. </t>
    </r>
    <r>
      <rPr>
        <sz val="11"/>
        <color theme="1"/>
        <rFont val="WenQuanYi Zen Hei"/>
        <family val="2"/>
      </rPr>
      <t xml:space="preserve">顧客データ基盤の運用
</t>
    </r>
    <r>
      <rPr>
        <sz val="11"/>
        <color theme="1"/>
        <rFont val="Calibri"/>
        <family val="2"/>
        <charset val="1"/>
      </rPr>
      <t xml:space="preserve">2. KPI</t>
    </r>
    <r>
      <rPr>
        <sz val="11"/>
        <color theme="1"/>
        <rFont val="WenQuanYi Zen Hei"/>
        <family val="2"/>
      </rPr>
      <t xml:space="preserve">レポーティング</t>
    </r>
  </si>
  <si>
    <t xml:space="preserve">09-14</t>
  </si>
  <si>
    <t xml:space="preserve">新設されるデータ戦略室の発足時の人員は何名ですか？</t>
  </si>
  <si>
    <r>
      <rPr>
        <sz val="10"/>
        <rFont val="Meiryo UI"/>
        <family val="0"/>
        <charset val="1"/>
      </rPr>
      <t xml:space="preserve">18</t>
    </r>
    <r>
      <rPr>
        <sz val="10"/>
        <rFont val="WenQuanYi Zen Hei"/>
        <family val="2"/>
      </rPr>
      <t xml:space="preserve">名（旧マーケティング部</t>
    </r>
    <r>
      <rPr>
        <sz val="10"/>
        <rFont val="Meiryo UI"/>
        <family val="0"/>
        <charset val="1"/>
      </rPr>
      <t xml:space="preserve">10</t>
    </r>
    <r>
      <rPr>
        <sz val="10"/>
        <rFont val="WenQuanYi Zen Hei"/>
        <family val="2"/>
      </rPr>
      <t xml:space="preserve">名＋旧開発部</t>
    </r>
    <r>
      <rPr>
        <sz val="10"/>
        <rFont val="Meiryo UI"/>
        <family val="0"/>
        <charset val="1"/>
      </rPr>
      <t xml:space="preserve">8</t>
    </r>
    <r>
      <rPr>
        <sz val="10"/>
        <rFont val="WenQuanYi Zen Hei"/>
        <family val="2"/>
      </rPr>
      <t xml:space="preserve">名）</t>
    </r>
  </si>
  <si>
    <r>
      <rPr>
        <sz val="10"/>
        <rFont val="WenQuanYi Zen Hei"/>
        <family val="2"/>
      </rPr>
      <t xml:space="preserve">【計算】</t>
    </r>
    <r>
      <rPr>
        <sz val="10"/>
        <rFont val="Noto Sans CJK SC"/>
        <family val="2"/>
        <charset val="1"/>
      </rPr>
      <t xml:space="preserve">P7 </t>
    </r>
    <r>
      <rPr>
        <sz val="10"/>
        <rFont val="WenQuanYi Zen Hei"/>
        <family val="2"/>
      </rPr>
      <t xml:space="preserve">矢印とラベル</t>
    </r>
  </si>
  <si>
    <r>
      <rPr>
        <sz val="10"/>
        <rFont val="Meiryo UI"/>
        <family val="0"/>
        <charset val="1"/>
      </rPr>
      <t xml:space="preserve">18</t>
    </r>
    <r>
      <rPr>
        <sz val="10"/>
        <rFont val="WenQuanYi Zen Hei"/>
        <family val="2"/>
      </rPr>
      <t xml:space="preserve">名（旧マーケ</t>
    </r>
    <r>
      <rPr>
        <sz val="10"/>
        <rFont val="Meiryo UI"/>
        <family val="0"/>
        <charset val="1"/>
      </rPr>
      <t xml:space="preserve">10</t>
    </r>
    <r>
      <rPr>
        <sz val="10"/>
        <rFont val="WenQuanYi Zen Hei"/>
        <family val="2"/>
      </rPr>
      <t xml:space="preserve">＋旧開発</t>
    </r>
    <r>
      <rPr>
        <sz val="10"/>
        <rFont val="Meiryo UI"/>
        <family val="0"/>
        <charset val="1"/>
      </rPr>
      <t xml:space="preserve">8</t>
    </r>
    <r>
      <rPr>
        <sz val="10"/>
        <rFont val="WenQuanYi Zen Hei"/>
        <family val="2"/>
      </rPr>
      <t xml:space="preserve">）</t>
    </r>
  </si>
  <si>
    <r>
      <rPr>
        <sz val="11"/>
        <color theme="1"/>
        <rFont val="WenQuanYi Zen Hei"/>
        <family val="2"/>
      </rPr>
      <t xml:space="preserve">データ戦略室の発足時（</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4</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日付）の人員は</t>
    </r>
    <r>
      <rPr>
        <sz val="11"/>
        <color theme="1"/>
        <rFont val="Calibri"/>
        <family val="2"/>
        <charset val="1"/>
      </rPr>
      <t xml:space="preserve">18</t>
    </r>
    <r>
      <rPr>
        <sz val="11"/>
        <color theme="1"/>
        <rFont val="WenQuanYi Zen Hei"/>
        <family val="2"/>
      </rPr>
      <t xml:space="preserve">名です。
内訳は、旧マーケティング部から</t>
    </r>
    <r>
      <rPr>
        <sz val="11"/>
        <color theme="1"/>
        <rFont val="Calibri"/>
        <family val="2"/>
        <charset val="1"/>
      </rPr>
      <t xml:space="preserve">10</t>
    </r>
    <r>
      <rPr>
        <sz val="11"/>
        <color theme="1"/>
        <rFont val="WenQuanYi Zen Hei"/>
        <family val="2"/>
      </rPr>
      <t xml:space="preserve">名、旧開発部から</t>
    </r>
    <r>
      <rPr>
        <sz val="11"/>
        <color theme="1"/>
        <rFont val="Calibri"/>
        <family val="2"/>
        <charset val="1"/>
      </rPr>
      <t xml:space="preserve">8</t>
    </r>
    <r>
      <rPr>
        <sz val="11"/>
        <color theme="1"/>
        <rFont val="WenQuanYi Zen Hei"/>
        <family val="2"/>
      </rPr>
      <t xml:space="preserve">名の移動によるものです（スライド</t>
    </r>
    <r>
      <rPr>
        <sz val="11"/>
        <color theme="1"/>
        <rFont val="Calibri"/>
        <family val="2"/>
        <charset val="1"/>
      </rPr>
      <t xml:space="preserve">7</t>
    </r>
    <r>
      <rPr>
        <sz val="11"/>
        <color theme="1"/>
        <rFont val="WenQuanYi Zen Hei"/>
        <family val="2"/>
      </rPr>
      <t xml:space="preserve">「人員の移動計画」の数値からの集計）。室長は小野氏です。</t>
    </r>
  </si>
  <si>
    <t xml:space="preserve">09-15</t>
  </si>
  <si>
    <r>
      <rPr>
        <sz val="10"/>
        <rFont val="WenQuanYi Zen Hei"/>
        <family val="2"/>
      </rPr>
      <t xml:space="preserve">旧営業部から新しい</t>
    </r>
    <r>
      <rPr>
        <sz val="10"/>
        <rFont val="Noto Sans CJK SC"/>
        <family val="2"/>
        <charset val="1"/>
      </rPr>
      <t xml:space="preserve">CS</t>
    </r>
    <r>
      <rPr>
        <sz val="10"/>
        <rFont val="WenQuanYi Zen Hei"/>
        <family val="2"/>
      </rPr>
      <t xml:space="preserve">部へ移る人数は何名ですか？新</t>
    </r>
    <r>
      <rPr>
        <sz val="10"/>
        <rFont val="Noto Sans CJK SC"/>
        <family val="2"/>
        <charset val="1"/>
      </rPr>
      <t xml:space="preserve">CS</t>
    </r>
    <r>
      <rPr>
        <sz val="10"/>
        <rFont val="WenQuanYi Zen Hei"/>
        <family val="2"/>
      </rPr>
      <t xml:space="preserve">部の人員は合計何名になりますか？</t>
    </r>
  </si>
  <si>
    <r>
      <rPr>
        <sz val="10"/>
        <rFont val="Meiryo UI"/>
        <family val="0"/>
        <charset val="1"/>
      </rPr>
      <t xml:space="preserve">25</t>
    </r>
    <r>
      <rPr>
        <sz val="10"/>
        <rFont val="WenQuanYi Zen Hei"/>
        <family val="2"/>
      </rPr>
      <t xml:space="preserve">名。新</t>
    </r>
    <r>
      <rPr>
        <sz val="10"/>
        <rFont val="Meiryo UI"/>
        <family val="0"/>
        <charset val="1"/>
      </rPr>
      <t xml:space="preserve">CS</t>
    </r>
    <r>
      <rPr>
        <sz val="10"/>
        <rFont val="WenQuanYi Zen Hei"/>
        <family val="2"/>
      </rPr>
      <t xml:space="preserve">部は</t>
    </r>
    <r>
      <rPr>
        <sz val="10"/>
        <rFont val="Meiryo UI"/>
        <family val="0"/>
        <charset val="1"/>
      </rPr>
      <t xml:space="preserve">60</t>
    </r>
    <r>
      <rPr>
        <sz val="10"/>
        <rFont val="WenQuanYi Zen Hei"/>
        <family val="2"/>
      </rPr>
      <t xml:space="preserve">名（旧</t>
    </r>
    <r>
      <rPr>
        <sz val="10"/>
        <rFont val="Meiryo UI"/>
        <family val="0"/>
        <charset val="1"/>
      </rPr>
      <t xml:space="preserve">CS</t>
    </r>
    <r>
      <rPr>
        <sz val="10"/>
        <rFont val="WenQuanYi Zen Hei"/>
        <family val="2"/>
      </rPr>
      <t xml:space="preserve">部</t>
    </r>
    <r>
      <rPr>
        <sz val="10"/>
        <rFont val="Meiryo UI"/>
        <family val="0"/>
        <charset val="1"/>
      </rPr>
      <t xml:space="preserve">35</t>
    </r>
    <r>
      <rPr>
        <sz val="10"/>
        <rFont val="WenQuanYi Zen Hei"/>
        <family val="2"/>
      </rPr>
      <t xml:space="preserve">名＋</t>
    </r>
    <r>
      <rPr>
        <sz val="10"/>
        <rFont val="Meiryo UI"/>
        <family val="0"/>
        <charset val="1"/>
      </rPr>
      <t xml:space="preserve">25</t>
    </r>
    <r>
      <rPr>
        <sz val="10"/>
        <rFont val="WenQuanYi Zen Hei"/>
        <family val="2"/>
      </rPr>
      <t xml:space="preserve">名）</t>
    </r>
  </si>
  <si>
    <r>
      <rPr>
        <sz val="10"/>
        <rFont val="WenQuanYi Zen Hei"/>
        <family val="2"/>
      </rPr>
      <t xml:space="preserve">【図解（矢印）】</t>
    </r>
    <r>
      <rPr>
        <sz val="10"/>
        <rFont val="Noto Sans CJK SC"/>
        <family val="2"/>
        <charset val="1"/>
      </rPr>
      <t xml:space="preserve">P7 </t>
    </r>
    <r>
      <rPr>
        <sz val="10"/>
        <rFont val="WenQuanYi Zen Hei"/>
        <family val="2"/>
      </rPr>
      <t xml:space="preserve">矢印＋注記</t>
    </r>
  </si>
  <si>
    <r>
      <rPr>
        <sz val="10"/>
        <rFont val="Meiryo UI"/>
        <family val="0"/>
        <charset val="1"/>
      </rPr>
      <t xml:space="preserve">25</t>
    </r>
    <r>
      <rPr>
        <sz val="10"/>
        <rFont val="WenQuanYi Zen Hei"/>
        <family val="2"/>
      </rPr>
      <t xml:space="preserve">名、新</t>
    </r>
    <r>
      <rPr>
        <sz val="10"/>
        <rFont val="Meiryo UI"/>
        <family val="0"/>
        <charset val="1"/>
      </rPr>
      <t xml:space="preserve">CS</t>
    </r>
    <r>
      <rPr>
        <sz val="10"/>
        <rFont val="WenQuanYi Zen Hei"/>
        <family val="2"/>
      </rPr>
      <t xml:space="preserve">部は</t>
    </r>
    <r>
      <rPr>
        <sz val="10"/>
        <rFont val="Meiryo UI"/>
        <family val="0"/>
        <charset val="1"/>
      </rPr>
      <t xml:space="preserve">60</t>
    </r>
    <r>
      <rPr>
        <sz val="10"/>
        <rFont val="WenQuanYi Zen Hei"/>
        <family val="2"/>
      </rPr>
      <t xml:space="preserve">名</t>
    </r>
  </si>
  <si>
    <r>
      <rPr>
        <sz val="11"/>
        <color theme="1"/>
        <rFont val="WenQuanYi Zen Hei"/>
        <family val="2"/>
      </rPr>
      <t xml:space="preserve">旧営業部から新</t>
    </r>
    <r>
      <rPr>
        <sz val="11"/>
        <color theme="1"/>
        <rFont val="Calibri"/>
        <family val="2"/>
        <charset val="1"/>
      </rPr>
      <t xml:space="preserve">CS</t>
    </r>
    <r>
      <rPr>
        <sz val="11"/>
        <color theme="1"/>
        <rFont val="WenQuanYi Zen Hei"/>
        <family val="2"/>
      </rPr>
      <t xml:space="preserve">部へ移る人数は</t>
    </r>
    <r>
      <rPr>
        <sz val="11"/>
        <color theme="1"/>
        <rFont val="Calibri"/>
        <family val="2"/>
        <charset val="1"/>
      </rPr>
      <t xml:space="preserve">25</t>
    </r>
    <r>
      <rPr>
        <sz val="11"/>
        <color theme="1"/>
        <rFont val="WenQuanYi Zen Hei"/>
        <family val="2"/>
      </rPr>
      <t xml:space="preserve">名です。新</t>
    </r>
    <r>
      <rPr>
        <sz val="11"/>
        <color theme="1"/>
        <rFont val="Calibri"/>
        <family val="2"/>
        <charset val="1"/>
      </rPr>
      <t xml:space="preserve">CS</t>
    </r>
    <r>
      <rPr>
        <sz val="11"/>
        <color theme="1"/>
        <rFont val="WenQuanYi Zen Hei"/>
        <family val="2"/>
      </rPr>
      <t xml:space="preserve">部の人員は、旧営業部からの</t>
    </r>
    <r>
      <rPr>
        <sz val="11"/>
        <color theme="1"/>
        <rFont val="Calibri"/>
        <family val="2"/>
        <charset val="1"/>
      </rPr>
      <t xml:space="preserve">25</t>
    </r>
    <r>
      <rPr>
        <sz val="11"/>
        <color theme="1"/>
        <rFont val="WenQuanYi Zen Hei"/>
        <family val="2"/>
      </rPr>
      <t xml:space="preserve">名と旧</t>
    </r>
    <r>
      <rPr>
        <sz val="11"/>
        <color theme="1"/>
        <rFont val="Calibri"/>
        <family val="2"/>
        <charset val="1"/>
      </rPr>
      <t xml:space="preserve">CS</t>
    </r>
    <r>
      <rPr>
        <sz val="11"/>
        <color theme="1"/>
        <rFont val="WenQuanYi Zen Hei"/>
        <family val="2"/>
      </rPr>
      <t xml:space="preserve">部の</t>
    </r>
    <r>
      <rPr>
        <sz val="11"/>
        <color theme="1"/>
        <rFont val="Calibri"/>
        <family val="2"/>
        <charset val="1"/>
      </rPr>
      <t xml:space="preserve">35</t>
    </r>
    <r>
      <rPr>
        <sz val="11"/>
        <color theme="1"/>
        <rFont val="WenQuanYi Zen Hei"/>
        <family val="2"/>
      </rPr>
      <t xml:space="preserve">名（全員）を合わせて、合計</t>
    </r>
    <r>
      <rPr>
        <sz val="11"/>
        <color theme="1"/>
        <rFont val="Calibri"/>
        <family val="2"/>
        <charset val="1"/>
      </rPr>
      <t xml:space="preserve">60</t>
    </r>
    <r>
      <rPr>
        <sz val="11"/>
        <color theme="1"/>
        <rFont val="WenQuanYi Zen Hei"/>
        <family val="2"/>
      </rPr>
      <t xml:space="preserve">名になります（いずれも</t>
    </r>
    <r>
      <rPr>
        <sz val="11"/>
        <color theme="1"/>
        <rFont val="Calibri"/>
        <family val="2"/>
        <charset val="1"/>
      </rPr>
      <t xml:space="preserve">2027</t>
    </r>
    <r>
      <rPr>
        <sz val="11"/>
        <color theme="1"/>
        <rFont val="WenQuanYi Zen Hei"/>
        <family val="2"/>
      </rPr>
      <t xml:space="preserve">年</t>
    </r>
    <r>
      <rPr>
        <sz val="11"/>
        <color theme="1"/>
        <rFont val="Calibri"/>
        <family val="2"/>
        <charset val="1"/>
      </rPr>
      <t xml:space="preserve">4</t>
    </r>
    <r>
      <rPr>
        <sz val="11"/>
        <color theme="1"/>
        <rFont val="WenQuanYi Zen Hei"/>
        <family val="2"/>
      </rPr>
      <t xml:space="preserve">月</t>
    </r>
    <r>
      <rPr>
        <sz val="11"/>
        <color theme="1"/>
        <rFont val="Calibri"/>
        <family val="2"/>
        <charset val="1"/>
      </rPr>
      <t xml:space="preserve">1</t>
    </r>
    <r>
      <rPr>
        <sz val="11"/>
        <color theme="1"/>
        <rFont val="WenQuanYi Zen Hei"/>
        <family val="2"/>
      </rPr>
      <t xml:space="preserve">日付の移動計画、スライド</t>
    </r>
    <r>
      <rPr>
        <sz val="11"/>
        <color theme="1"/>
        <rFont val="Calibri"/>
        <family val="2"/>
        <charset val="1"/>
      </rPr>
      <t xml:space="preserve">7</t>
    </r>
    <r>
      <rPr>
        <sz val="11"/>
        <color theme="1"/>
        <rFont val="WenQuanYi Zen Hei"/>
        <family val="2"/>
      </rPr>
      <t xml:space="preserve">より）。</t>
    </r>
  </si>
  <si>
    <t xml:space="preserve">09-16</t>
  </si>
  <si>
    <r>
      <rPr>
        <sz val="10"/>
        <rFont val="WenQuanYi Zen Hei"/>
        <family val="2"/>
      </rPr>
      <t xml:space="preserve">定員</t>
    </r>
    <r>
      <rPr>
        <sz val="10"/>
        <rFont val="Noto Sans CJK SC"/>
        <family val="2"/>
        <charset val="1"/>
      </rPr>
      <t xml:space="preserve">12</t>
    </r>
    <r>
      <rPr>
        <sz val="10"/>
        <rFont val="WenQuanYi Zen Hei"/>
        <family val="2"/>
      </rPr>
      <t xml:space="preserve">名の会議室はどれですか？</t>
    </r>
  </si>
  <si>
    <r>
      <rPr>
        <sz val="10"/>
        <rFont val="WenQuanYi Zen Hei"/>
        <family val="2"/>
      </rPr>
      <t xml:space="preserve">会議室</t>
    </r>
    <r>
      <rPr>
        <sz val="10"/>
        <rFont val="Noto Sans CJK SC"/>
        <family val="2"/>
        <charset val="1"/>
      </rPr>
      <t xml:space="preserve">A</t>
    </r>
  </si>
  <si>
    <r>
      <rPr>
        <sz val="10"/>
        <rFont val="WenQuanYi Zen Hei"/>
        <family val="2"/>
      </rPr>
      <t xml:space="preserve">【画像（間取り図）】</t>
    </r>
    <r>
      <rPr>
        <sz val="10"/>
        <rFont val="Noto Sans CJK SC"/>
        <family val="2"/>
        <charset val="1"/>
      </rPr>
      <t xml:space="preserve">P8 </t>
    </r>
    <r>
      <rPr>
        <sz val="10"/>
        <rFont val="WenQuanYi Zen Hei"/>
        <family val="2"/>
      </rPr>
      <t xml:space="preserve">平面図画像</t>
    </r>
  </si>
  <si>
    <r>
      <rPr>
        <sz val="10"/>
        <rFont val="WenQuanYi Zen Hei"/>
        <family val="2"/>
      </rPr>
      <t xml:space="preserve">会議室</t>
    </r>
    <r>
      <rPr>
        <sz val="10"/>
        <rFont val="Meiryo UI"/>
        <family val="0"/>
        <charset val="1"/>
      </rPr>
      <t xml:space="preserve">A</t>
    </r>
  </si>
  <si>
    <r>
      <rPr>
        <sz val="11"/>
        <color theme="1"/>
        <rFont val="WenQuanYi Zen Hei"/>
        <family val="2"/>
      </rPr>
      <t xml:space="preserve">定員</t>
    </r>
    <r>
      <rPr>
        <sz val="11"/>
        <color theme="1"/>
        <rFont val="Calibri"/>
        <family val="2"/>
        <charset val="1"/>
      </rPr>
      <t xml:space="preserve">12</t>
    </r>
    <r>
      <rPr>
        <sz val="11"/>
        <color theme="1"/>
        <rFont val="WenQuanYi Zen Hei"/>
        <family val="2"/>
      </rPr>
      <t xml:space="preserve">名の会議室は「会議室</t>
    </r>
    <r>
      <rPr>
        <sz val="11"/>
        <color theme="1"/>
        <rFont val="Calibri"/>
        <family val="2"/>
        <charset val="1"/>
      </rPr>
      <t xml:space="preserve">A</t>
    </r>
    <r>
      <rPr>
        <sz val="11"/>
        <color theme="1"/>
        <rFont val="WenQuanYi Zen Hei"/>
        <family val="2"/>
      </rPr>
      <t xml:space="preserve">」です（スライド</t>
    </r>
    <r>
      <rPr>
        <sz val="11"/>
        <color theme="1"/>
        <rFont val="Calibri"/>
        <family val="2"/>
        <charset val="1"/>
      </rPr>
      <t xml:space="preserve">8</t>
    </r>
    <r>
      <rPr>
        <sz val="11"/>
        <color theme="1"/>
        <rFont val="WenQuanYi Zen Hei"/>
        <family val="2"/>
      </rPr>
      <t xml:space="preserve">：新オフィスのレイアウト（</t>
    </r>
    <r>
      <rPr>
        <sz val="11"/>
        <color theme="1"/>
        <rFont val="Calibri"/>
        <family val="2"/>
        <charset val="1"/>
      </rPr>
      <t xml:space="preserve">3</t>
    </r>
    <r>
      <rPr>
        <sz val="11"/>
        <color theme="1"/>
        <rFont val="WenQuanYi Zen Hei"/>
        <family val="2"/>
      </rPr>
      <t xml:space="preserve">階）、上段左端）。</t>
    </r>
  </si>
  <si>
    <t xml:space="preserve">09-17</t>
  </si>
  <si>
    <t xml:space="preserve">フリーアドレス席は何席ありますか？データ戦略室の隣には何がありますか？</t>
  </si>
  <si>
    <r>
      <rPr>
        <sz val="10"/>
        <rFont val="Meiryo UI"/>
        <family val="0"/>
        <charset val="1"/>
      </rPr>
      <t xml:space="preserve">80</t>
    </r>
    <r>
      <rPr>
        <sz val="10"/>
        <rFont val="WenQuanYi Zen Hei"/>
        <family val="2"/>
      </rPr>
      <t xml:space="preserve">席。受付（と会議室</t>
    </r>
    <r>
      <rPr>
        <sz val="10"/>
        <rFont val="Meiryo UI"/>
        <family val="0"/>
        <charset val="1"/>
      </rPr>
      <t xml:space="preserve">B</t>
    </r>
    <r>
      <rPr>
        <sz val="10"/>
        <rFont val="WenQuanYi Zen Hei"/>
        <family val="2"/>
      </rPr>
      <t xml:space="preserve">）</t>
    </r>
  </si>
  <si>
    <r>
      <rPr>
        <sz val="10"/>
        <rFont val="Meiryo UI"/>
        <family val="0"/>
        <charset val="1"/>
      </rPr>
      <t xml:space="preserve">80</t>
    </r>
    <r>
      <rPr>
        <sz val="10"/>
        <rFont val="WenQuanYi Zen Hei"/>
        <family val="2"/>
      </rPr>
      <t xml:space="preserve">席、受付（左隣は会議室</t>
    </r>
    <r>
      <rPr>
        <sz val="10"/>
        <rFont val="Meiryo UI"/>
        <family val="0"/>
        <charset val="1"/>
      </rPr>
      <t xml:space="preserve">B</t>
    </r>
    <r>
      <rPr>
        <sz val="10"/>
        <rFont val="WenQuanYi Zen Hei"/>
        <family val="2"/>
      </rPr>
      <t xml:space="preserve">）</t>
    </r>
  </si>
  <si>
    <r>
      <rPr>
        <sz val="11"/>
        <color theme="1"/>
        <rFont val="WenQuanYi Zen Hei"/>
        <family val="2"/>
      </rPr>
      <t xml:space="preserve">フリーアドレス席は</t>
    </r>
    <r>
      <rPr>
        <sz val="11"/>
        <color theme="1"/>
        <rFont val="Calibri"/>
        <family val="2"/>
        <charset val="1"/>
      </rPr>
      <t xml:space="preserve">80</t>
    </r>
    <r>
      <rPr>
        <sz val="11"/>
        <color theme="1"/>
        <rFont val="WenQuanYi Zen Hei"/>
        <family val="2"/>
      </rPr>
      <t xml:space="preserve">席です（新オフィス</t>
    </r>
    <r>
      <rPr>
        <sz val="11"/>
        <color theme="1"/>
        <rFont val="Calibri"/>
        <family val="2"/>
        <charset val="1"/>
      </rPr>
      <t xml:space="preserve">3</t>
    </r>
    <r>
      <rPr>
        <sz val="11"/>
        <color theme="1"/>
        <rFont val="WenQuanYi Zen Hei"/>
        <family val="2"/>
      </rPr>
      <t xml:space="preserve">階。なお平面図中の席の四角は</t>
    </r>
    <r>
      <rPr>
        <sz val="11"/>
        <color theme="1"/>
        <rFont val="Calibri"/>
        <family val="2"/>
        <charset val="1"/>
      </rPr>
      <t xml:space="preserve">30</t>
    </r>
    <r>
      <rPr>
        <sz val="11"/>
        <color theme="1"/>
        <rFont val="WenQuanYi Zen Hei"/>
        <family val="2"/>
      </rPr>
      <t xml:space="preserve">個で模式的に表示されています）。
データ戦略室の隣には受付があります（スライド</t>
    </r>
    <r>
      <rPr>
        <sz val="11"/>
        <color theme="1"/>
        <rFont val="Calibri"/>
        <family val="2"/>
        <charset val="1"/>
      </rPr>
      <t xml:space="preserve">8</t>
    </r>
    <r>
      <rPr>
        <sz val="11"/>
        <color theme="1"/>
        <rFont val="WenQuanYi Zen Hei"/>
        <family val="2"/>
      </rPr>
      <t xml:space="preserve">のポイント「データ戦略室は受付の隣に配置」）。なお、平面図の上段は左から「会議室</t>
    </r>
    <r>
      <rPr>
        <sz val="11"/>
        <color theme="1"/>
        <rFont val="Calibri"/>
        <family val="2"/>
        <charset val="1"/>
      </rPr>
      <t xml:space="preserve">A</t>
    </r>
    <r>
      <rPr>
        <sz val="11"/>
        <color theme="1"/>
        <rFont val="WenQuanYi Zen Hei"/>
        <family val="2"/>
      </rPr>
      <t xml:space="preserve">／会議室</t>
    </r>
    <r>
      <rPr>
        <sz val="11"/>
        <color theme="1"/>
        <rFont val="Calibri"/>
        <family val="2"/>
        <charset val="1"/>
      </rPr>
      <t xml:space="preserve">B</t>
    </r>
    <r>
      <rPr>
        <sz val="11"/>
        <color theme="1"/>
        <rFont val="WenQuanYi Zen Hei"/>
        <family val="2"/>
      </rPr>
      <t xml:space="preserve">／データ戦略室／受付」の順に並んでいるため、反対側（左隣）は会議室</t>
    </r>
    <r>
      <rPr>
        <sz val="11"/>
        <color theme="1"/>
        <rFont val="Calibri"/>
        <family val="2"/>
        <charset val="1"/>
      </rPr>
      <t xml:space="preserve">B</t>
    </r>
    <r>
      <rPr>
        <sz val="11"/>
        <color theme="1"/>
        <rFont val="WenQuanYi Zen Hei"/>
        <family val="2"/>
      </rPr>
      <t xml:space="preserve">（定員</t>
    </r>
    <r>
      <rPr>
        <sz val="11"/>
        <color theme="1"/>
        <rFont val="Calibri"/>
        <family val="2"/>
        <charset val="1"/>
      </rPr>
      <t xml:space="preserve">6</t>
    </r>
    <r>
      <rPr>
        <sz val="11"/>
        <color theme="1"/>
        <rFont val="WenQuanYi Zen Hei"/>
        <family val="2"/>
      </rPr>
      <t xml:space="preserve">名）です。</t>
    </r>
  </si>
  <si>
    <t xml:space="preserve">09-18</t>
  </si>
  <si>
    <t xml:space="preserve">現在『実施中』の移行タスクをすべて答えてください。</t>
  </si>
  <si>
    <t xml:space="preserve">人事システムの設定変更、座席レイアウトの決定</t>
  </si>
  <si>
    <r>
      <rPr>
        <sz val="10"/>
        <rFont val="WenQuanYi Zen Hei"/>
        <family val="2"/>
      </rPr>
      <t xml:space="preserve">【位置（カンバン）】</t>
    </r>
    <r>
      <rPr>
        <sz val="10"/>
        <rFont val="Noto Sans CJK SC"/>
        <family val="2"/>
        <charset val="1"/>
      </rPr>
      <t xml:space="preserve">P9 </t>
    </r>
    <r>
      <rPr>
        <sz val="10"/>
        <rFont val="WenQuanYi Zen Hei"/>
        <family val="2"/>
      </rPr>
      <t xml:space="preserve">カードの列位置（</t>
    </r>
    <r>
      <rPr>
        <sz val="10"/>
        <rFont val="Noto Sans CJK SC"/>
        <family val="2"/>
        <charset val="1"/>
      </rPr>
      <t xml:space="preserve">XML</t>
    </r>
    <r>
      <rPr>
        <sz val="10"/>
        <rFont val="WenQuanYi Zen Hei"/>
        <family val="2"/>
      </rPr>
      <t xml:space="preserve">の順序は列と無関係）</t>
    </r>
  </si>
  <si>
    <r>
      <rPr>
        <sz val="11"/>
        <color theme="1"/>
        <rFont val="WenQuanYi Zen Hei"/>
        <family val="2"/>
      </rPr>
      <t xml:space="preserve">現在『実施中』の移行タスクは次の</t>
    </r>
    <r>
      <rPr>
        <sz val="11"/>
        <color theme="1"/>
        <rFont val="Calibri"/>
        <family val="2"/>
        <charset val="1"/>
      </rPr>
      <t xml:space="preserve">2</t>
    </r>
    <r>
      <rPr>
        <sz val="11"/>
        <color theme="1"/>
        <rFont val="WenQuanYi Zen Hei"/>
        <family val="2"/>
      </rPr>
      <t xml:space="preserve">つです（スライド</t>
    </r>
    <r>
      <rPr>
        <sz val="11"/>
        <color theme="1"/>
        <rFont val="Calibri"/>
        <family val="2"/>
        <charset val="1"/>
      </rPr>
      <t xml:space="preserve">9</t>
    </r>
    <r>
      <rPr>
        <sz val="11"/>
        <color theme="1"/>
        <rFont val="WenQuanYi Zen Hei"/>
        <family val="2"/>
      </rPr>
      <t xml:space="preserve">「移行タスクの進捗」より）。
</t>
    </r>
    <r>
      <rPr>
        <sz val="11"/>
        <color theme="1"/>
        <rFont val="Calibri"/>
        <family val="2"/>
        <charset val="1"/>
      </rPr>
      <t xml:space="preserve">1. </t>
    </r>
    <r>
      <rPr>
        <sz val="11"/>
        <color theme="1"/>
        <rFont val="WenQuanYi Zen Hei"/>
        <family val="2"/>
      </rPr>
      <t xml:space="preserve">人事システムの設定変更
</t>
    </r>
    <r>
      <rPr>
        <sz val="11"/>
        <color theme="1"/>
        <rFont val="Calibri"/>
        <family val="2"/>
        <charset val="1"/>
      </rPr>
      <t xml:space="preserve">2. </t>
    </r>
    <r>
      <rPr>
        <sz val="11"/>
        <color theme="1"/>
        <rFont val="WenQuanYi Zen Hei"/>
        <family val="2"/>
      </rPr>
      <t xml:space="preserve">座席レイアウトの決定</t>
    </r>
  </si>
  <si>
    <t xml:space="preserve">09-19</t>
  </si>
  <si>
    <t xml:space="preserve">労働組合への説明は済んでいますか？</t>
  </si>
  <si>
    <r>
      <rPr>
        <sz val="10"/>
        <rFont val="Meiryo UI"/>
        <family val="0"/>
        <charset val="1"/>
      </rPr>
      <t xml:space="preserve">11</t>
    </r>
    <r>
      <rPr>
        <sz val="10"/>
        <rFont val="WenQuanYi Zen Hei"/>
        <family val="2"/>
      </rPr>
      <t xml:space="preserve">月</t>
    </r>
    <r>
      <rPr>
        <sz val="10"/>
        <rFont val="Meiryo UI"/>
        <family val="0"/>
        <charset val="1"/>
      </rPr>
      <t xml:space="preserve">25</t>
    </r>
    <r>
      <rPr>
        <sz val="10"/>
        <rFont val="WenQuanYi Zen Hei"/>
        <family val="2"/>
      </rPr>
      <t xml:space="preserve">日に実施済み（大きな異論なし）</t>
    </r>
  </si>
  <si>
    <r>
      <rPr>
        <sz val="10"/>
        <rFont val="Meiryo UI"/>
        <family val="0"/>
        <charset val="1"/>
      </rPr>
      <t xml:space="preserve">11</t>
    </r>
    <r>
      <rPr>
        <sz val="10"/>
        <rFont val="WenQuanYi Zen Hei"/>
        <family val="2"/>
      </rPr>
      <t xml:space="preserve">月</t>
    </r>
    <r>
      <rPr>
        <sz val="10"/>
        <rFont val="Meiryo UI"/>
        <family val="0"/>
        <charset val="1"/>
      </rPr>
      <t xml:space="preserve">25</t>
    </r>
    <r>
      <rPr>
        <sz val="10"/>
        <rFont val="WenQuanYi Zen Hei"/>
        <family val="2"/>
      </rPr>
      <t xml:space="preserve">日に実施済み、大きな異論なし</t>
    </r>
  </si>
  <si>
    <r>
      <rPr>
        <sz val="11"/>
        <color theme="1"/>
        <rFont val="WenQuanYi Zen Hei"/>
        <family val="2"/>
      </rPr>
      <t xml:space="preserve">はい、資料上は済んでいることになっています。スライド</t>
    </r>
    <r>
      <rPr>
        <sz val="11"/>
        <color theme="1"/>
        <rFont val="Calibri"/>
        <family val="2"/>
        <charset val="1"/>
      </rPr>
      <t xml:space="preserve">10</t>
    </r>
    <r>
      <rPr>
        <sz val="11"/>
        <color theme="1"/>
        <rFont val="WenQuanYi Zen Hei"/>
        <family val="2"/>
      </rPr>
      <t xml:space="preserve">の発表者ノート（取扱注意）に「労働組合への説明は</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25</t>
    </r>
    <r>
      <rPr>
        <sz val="11"/>
        <color theme="1"/>
        <rFont val="WenQuanYi Zen Hei"/>
        <family val="2"/>
      </rPr>
      <t xml:space="preserve">日に実施済みで、大きな異論は出ていない」と記載されています。
ただし、以下の点にご注意ください。
</t>
    </r>
    <r>
      <rPr>
        <sz val="11"/>
        <color theme="1"/>
        <rFont val="Calibri"/>
        <family val="2"/>
        <charset val="1"/>
      </rPr>
      <t xml:space="preserve">- </t>
    </r>
    <r>
      <rPr>
        <sz val="11"/>
        <color theme="1"/>
        <rFont val="WenQuanYi Zen Hei"/>
        <family val="2"/>
      </rPr>
      <t xml:space="preserve">この情報はスライド本文ではなく発表者ノートにのみ記載された、労使関係に関する内部情報です。共有範囲に注意が必要とされています。
</t>
    </r>
    <r>
      <rPr>
        <sz val="11"/>
        <color theme="1"/>
        <rFont val="Calibri"/>
        <family val="2"/>
        <charset val="1"/>
      </rPr>
      <t xml:space="preserve">- </t>
    </r>
    <r>
      <rPr>
        <sz val="11"/>
        <color theme="1"/>
        <rFont val="WenQuanYi Zen Hei"/>
        <family val="2"/>
      </rPr>
      <t xml:space="preserve">資料の版数は「</t>
    </r>
    <r>
      <rPr>
        <sz val="11"/>
        <color theme="1"/>
        <rFont val="Calibri"/>
        <family val="2"/>
        <charset val="1"/>
      </rPr>
      <t xml:space="preserve">Ver.3.2</t>
    </r>
    <r>
      <rPr>
        <sz val="11"/>
        <color theme="1"/>
        <rFont val="WenQuanYi Zen Hei"/>
        <family val="2"/>
      </rPr>
      <t xml:space="preserve">（</t>
    </r>
    <r>
      <rPr>
        <sz val="11"/>
        <color theme="1"/>
        <rFont val="Calibri"/>
        <family val="2"/>
        <charset val="1"/>
      </rPr>
      <t xml:space="preserve">2026/11/02 </t>
    </r>
    <r>
      <rPr>
        <sz val="11"/>
        <color theme="1"/>
        <rFont val="WenQuanYi Zen Hei"/>
        <family val="2"/>
      </rPr>
      <t xml:space="preserve">改訂）」ですが、ノートには</t>
    </r>
    <r>
      <rPr>
        <sz val="11"/>
        <color theme="1"/>
        <rFont val="Calibri"/>
        <family val="2"/>
        <charset val="1"/>
      </rPr>
      <t xml:space="preserve">11</t>
    </r>
    <r>
      <rPr>
        <sz val="11"/>
        <color theme="1"/>
        <rFont val="WenQuanYi Zen Hei"/>
        <family val="2"/>
      </rPr>
      <t xml:space="preserve">月</t>
    </r>
    <r>
      <rPr>
        <sz val="11"/>
        <color theme="1"/>
        <rFont val="Calibri"/>
        <family val="2"/>
        <charset val="1"/>
      </rPr>
      <t xml:space="preserve">25</t>
    </r>
    <r>
      <rPr>
        <sz val="11"/>
        <color theme="1"/>
        <rFont val="WenQuanYi Zen Hei"/>
        <family val="2"/>
      </rPr>
      <t xml:space="preserve">日に実施済みの事項が書かれており、ノートと本文の更新時点が異なる可能性があります。最新の状況は担当部署（経営企画部）にご確認ください。</t>
    </r>
  </si>
  <si>
    <t xml:space="preserve">09-20</t>
  </si>
  <si>
    <r>
      <rPr>
        <b val="true"/>
        <sz val="12"/>
        <rFont val="WenQuanYi Zen Hei"/>
        <family val="2"/>
      </rPr>
      <t xml:space="preserve">対象：</t>
    </r>
    <r>
      <rPr>
        <b val="true"/>
        <sz val="12"/>
        <rFont val="Noto Sans CJK SC"/>
        <family val="2"/>
        <charset val="1"/>
      </rPr>
      <t xml:space="preserve">10_</t>
    </r>
    <r>
      <rPr>
        <b val="true"/>
        <sz val="12"/>
        <rFont val="WenQuanYi Zen Hei"/>
        <family val="2"/>
      </rPr>
      <t xml:space="preserve">技術開発ロードマップ</t>
    </r>
    <r>
      <rPr>
        <b val="true"/>
        <sz val="12"/>
        <rFont val="Noto Sans CJK SC"/>
        <family val="2"/>
        <charset val="1"/>
      </rPr>
      <t xml:space="preserve">.pptx</t>
    </r>
    <r>
      <rPr>
        <b val="true"/>
        <sz val="12"/>
        <rFont val="WenQuanYi Zen Hei"/>
        <family val="2"/>
      </rPr>
      <t xml:space="preserve">（</t>
    </r>
    <r>
      <rPr>
        <b val="true"/>
        <sz val="12"/>
        <rFont val="Noto Sans CJK SC"/>
        <family val="2"/>
        <charset val="1"/>
      </rPr>
      <t xml:space="preserve">10</t>
    </r>
    <r>
      <rPr>
        <b val="true"/>
        <sz val="12"/>
        <rFont val="WenQuanYi Zen Hei"/>
        <family val="2"/>
      </rPr>
      <t xml:space="preserve">枚）</t>
    </r>
  </si>
  <si>
    <r>
      <rPr>
        <sz val="10"/>
        <rFont val="WenQuanYi Zen Hei"/>
        <family val="2"/>
      </rPr>
      <t xml:space="preserve">第</t>
    </r>
    <r>
      <rPr>
        <sz val="10"/>
        <rFont val="Noto Sans CJK SC"/>
        <family val="2"/>
        <charset val="1"/>
      </rPr>
      <t xml:space="preserve">2</t>
    </r>
    <r>
      <rPr>
        <sz val="10"/>
        <rFont val="WenQuanYi Zen Hei"/>
        <family val="2"/>
      </rPr>
      <t xml:space="preserve">世代のサイクル寿命は何回ですか？</t>
    </r>
  </si>
  <si>
    <r>
      <rPr>
        <sz val="10"/>
        <rFont val="Meiryo UI"/>
        <family val="0"/>
        <charset val="1"/>
      </rPr>
      <t xml:space="preserve">2,000</t>
    </r>
    <r>
      <rPr>
        <sz val="10"/>
        <rFont val="WenQuanYi Zen Hei"/>
        <family val="2"/>
      </rPr>
      <t xml:space="preserve">回</t>
    </r>
  </si>
  <si>
    <r>
      <rPr>
        <sz val="10"/>
        <rFont val="WenQuanYi Zen Hei"/>
        <family val="2"/>
      </rPr>
      <t xml:space="preserve">【対数グラフ】</t>
    </r>
    <r>
      <rPr>
        <sz val="10"/>
        <rFont val="Noto Sans CJK SC"/>
        <family val="2"/>
        <charset val="1"/>
      </rPr>
      <t xml:space="preserve">P2 </t>
    </r>
    <r>
      <rPr>
        <sz val="10"/>
        <rFont val="WenQuanYi Zen Hei"/>
        <family val="2"/>
      </rPr>
      <t xml:space="preserve">縦軸が対数目盛の折れ線（数値ラベルなし）</t>
    </r>
  </si>
  <si>
    <r>
      <rPr>
        <sz val="11"/>
        <color theme="1"/>
        <rFont val="WenQuanYi Zen Hei"/>
        <family val="2"/>
      </rPr>
      <t xml:space="preserve">第</t>
    </r>
    <r>
      <rPr>
        <sz val="11"/>
        <color theme="1"/>
        <rFont val="Calibri"/>
        <family val="2"/>
        <charset val="1"/>
      </rPr>
      <t xml:space="preserve">2</t>
    </r>
    <r>
      <rPr>
        <sz val="11"/>
        <color theme="1"/>
        <rFont val="WenQuanYi Zen Hei"/>
        <family val="2"/>
      </rPr>
      <t xml:space="preserve">世代のサイクル寿命は</t>
    </r>
    <r>
      <rPr>
        <sz val="11"/>
        <color theme="1"/>
        <rFont val="Calibri"/>
        <family val="2"/>
        <charset val="1"/>
      </rPr>
      <t xml:space="preserve">2,000</t>
    </r>
    <r>
      <rPr>
        <sz val="11"/>
        <color theme="1"/>
        <rFont val="WenQuanYi Zen Hei"/>
        <family val="2"/>
      </rPr>
      <t xml:space="preserve">回です（スライド</t>
    </r>
    <r>
      <rPr>
        <sz val="11"/>
        <color theme="1"/>
        <rFont val="Calibri"/>
        <family val="2"/>
        <charset val="1"/>
      </rPr>
      <t xml:space="preserve">2</t>
    </r>
    <r>
      <rPr>
        <sz val="11"/>
        <color theme="1"/>
        <rFont val="WenQuanYi Zen Hei"/>
        <family val="2"/>
      </rPr>
      <t xml:space="preserve">「世代別の充放電サイクル寿命」より）。なお、ここでのサイクル寿命は「容量が初期の</t>
    </r>
    <r>
      <rPr>
        <sz val="11"/>
        <color theme="1"/>
        <rFont val="Calibri"/>
        <family val="2"/>
        <charset val="1"/>
      </rPr>
      <t xml:space="preserve">80%</t>
    </r>
    <r>
      <rPr>
        <sz val="11"/>
        <color theme="1"/>
        <rFont val="WenQuanYi Zen Hei"/>
        <family val="2"/>
      </rPr>
      <t xml:space="preserve">に下がるまでに繰り返せる充放電の回数」と定義されています。</t>
    </r>
  </si>
  <si>
    <t xml:space="preserve">10-01</t>
  </si>
  <si>
    <r>
      <rPr>
        <sz val="10"/>
        <rFont val="WenQuanYi Zen Hei"/>
        <family val="2"/>
      </rPr>
      <t xml:space="preserve">最終目標のサイクル寿命は、第</t>
    </r>
    <r>
      <rPr>
        <sz val="10"/>
        <rFont val="Noto Sans CJK SC"/>
        <family val="2"/>
        <charset val="1"/>
      </rPr>
      <t xml:space="preserve">1</t>
    </r>
    <r>
      <rPr>
        <sz val="10"/>
        <rFont val="WenQuanYi Zen Hei"/>
        <family val="2"/>
      </rPr>
      <t xml:space="preserve">世代の何倍ですか？</t>
    </r>
  </si>
  <si>
    <r>
      <rPr>
        <sz val="10"/>
        <rFont val="Meiryo UI"/>
        <family val="0"/>
        <charset val="1"/>
      </rPr>
      <t xml:space="preserve">100</t>
    </r>
    <r>
      <rPr>
        <sz val="10"/>
        <rFont val="WenQuanYi Zen Hei"/>
        <family val="2"/>
      </rPr>
      <t xml:space="preserve">倍（</t>
    </r>
    <r>
      <rPr>
        <sz val="10"/>
        <rFont val="Meiryo UI"/>
        <family val="0"/>
        <charset val="1"/>
      </rPr>
      <t xml:space="preserve">50,000÷500</t>
    </r>
    <r>
      <rPr>
        <sz val="10"/>
        <rFont val="WenQuanYi Zen Hei"/>
        <family val="2"/>
      </rPr>
      <t xml:space="preserve">）</t>
    </r>
  </si>
  <si>
    <r>
      <rPr>
        <sz val="10"/>
        <rFont val="WenQuanYi Zen Hei"/>
        <family val="2"/>
      </rPr>
      <t xml:space="preserve">【計算】</t>
    </r>
    <r>
      <rPr>
        <sz val="10"/>
        <rFont val="Noto Sans CJK SC"/>
        <family val="2"/>
        <charset val="1"/>
      </rPr>
      <t xml:space="preserve">P2 </t>
    </r>
    <r>
      <rPr>
        <sz val="10"/>
        <rFont val="WenQuanYi Zen Hei"/>
        <family val="2"/>
      </rPr>
      <t xml:space="preserve">対数グラフ</t>
    </r>
  </si>
  <si>
    <r>
      <rPr>
        <sz val="10"/>
        <rFont val="Meiryo UI"/>
        <family val="0"/>
        <charset val="1"/>
      </rPr>
      <t xml:space="preserve">100</t>
    </r>
    <r>
      <rPr>
        <sz val="10"/>
        <rFont val="WenQuanYi Zen Hei"/>
        <family val="2"/>
      </rPr>
      <t xml:space="preserve">倍</t>
    </r>
  </si>
  <si>
    <r>
      <rPr>
        <sz val="11"/>
        <color theme="1"/>
        <rFont val="Calibri"/>
        <family val="2"/>
        <charset val="1"/>
      </rPr>
      <t xml:space="preserve">100</t>
    </r>
    <r>
      <rPr>
        <sz val="11"/>
        <color theme="1"/>
        <rFont val="WenQuanYi Zen Hei"/>
        <family val="2"/>
      </rPr>
      <t xml:space="preserve">倍です。最終目標のサイクル寿命は</t>
    </r>
    <r>
      <rPr>
        <sz val="11"/>
        <color theme="1"/>
        <rFont val="Calibri"/>
        <family val="2"/>
        <charset val="1"/>
      </rPr>
      <t xml:space="preserve">50,000</t>
    </r>
    <r>
      <rPr>
        <sz val="11"/>
        <color theme="1"/>
        <rFont val="WenQuanYi Zen Hei"/>
        <family val="2"/>
      </rPr>
      <t xml:space="preserve">回、第</t>
    </r>
    <r>
      <rPr>
        <sz val="11"/>
        <color theme="1"/>
        <rFont val="Calibri"/>
        <family val="2"/>
        <charset val="1"/>
      </rPr>
      <t xml:space="preserve">1</t>
    </r>
    <r>
      <rPr>
        <sz val="11"/>
        <color theme="1"/>
        <rFont val="WenQuanYi Zen Hei"/>
        <family val="2"/>
      </rPr>
      <t xml:space="preserve">世代は</t>
    </r>
    <r>
      <rPr>
        <sz val="11"/>
        <color theme="1"/>
        <rFont val="Calibri"/>
        <family val="2"/>
        <charset val="1"/>
      </rPr>
      <t xml:space="preserve">500</t>
    </r>
    <r>
      <rPr>
        <sz val="11"/>
        <color theme="1"/>
        <rFont val="WenQuanYi Zen Hei"/>
        <family val="2"/>
      </rPr>
      <t xml:space="preserve">回なので、</t>
    </r>
    <r>
      <rPr>
        <sz val="11"/>
        <color theme="1"/>
        <rFont val="Calibri"/>
        <family val="2"/>
        <charset val="1"/>
      </rPr>
      <t xml:space="preserve">50,000 ÷ 500 </t>
    </r>
    <r>
      <rPr>
        <sz val="11"/>
        <color theme="1"/>
        <rFont val="WenQuanYi Zen Hei"/>
        <family val="2"/>
      </rPr>
      <t xml:space="preserve">＝ </t>
    </r>
    <r>
      <rPr>
        <sz val="11"/>
        <color theme="1"/>
        <rFont val="Calibri"/>
        <family val="2"/>
        <charset val="1"/>
      </rPr>
      <t xml:space="preserve">100</t>
    </r>
    <r>
      <rPr>
        <sz val="11"/>
        <color theme="1"/>
        <rFont val="WenQuanYi Zen Hei"/>
        <family val="2"/>
      </rPr>
      <t xml:space="preserve">倍になります（スライド</t>
    </r>
    <r>
      <rPr>
        <sz val="11"/>
        <color theme="1"/>
        <rFont val="Calibri"/>
        <family val="2"/>
        <charset val="1"/>
      </rPr>
      <t xml:space="preserve">2</t>
    </r>
    <r>
      <rPr>
        <sz val="11"/>
        <color theme="1"/>
        <rFont val="WenQuanYi Zen Hei"/>
        <family val="2"/>
      </rPr>
      <t xml:space="preserve">のグラフより）。</t>
    </r>
  </si>
  <si>
    <t xml:space="preserve">10-02</t>
  </si>
  <si>
    <r>
      <rPr>
        <sz val="10"/>
        <rFont val="WenQuanYi Zen Hei"/>
        <family val="2"/>
      </rPr>
      <t xml:space="preserve">エネルギー密度が</t>
    </r>
    <r>
      <rPr>
        <sz val="10"/>
        <rFont val="Noto Sans CJK SC"/>
        <family val="2"/>
        <charset val="1"/>
      </rPr>
      <t xml:space="preserve">2</t>
    </r>
    <r>
      <rPr>
        <sz val="10"/>
        <rFont val="WenQuanYi Zen Hei"/>
        <family val="2"/>
      </rPr>
      <t xml:space="preserve">番目に高いのはどこですか？値も答えてください。</t>
    </r>
  </si>
  <si>
    <r>
      <rPr>
        <sz val="10"/>
        <rFont val="Meiryo UI"/>
        <family val="0"/>
        <charset val="1"/>
      </rPr>
      <t xml:space="preserve">A</t>
    </r>
    <r>
      <rPr>
        <sz val="10"/>
        <rFont val="WenQuanYi Zen Hei"/>
        <family val="2"/>
      </rPr>
      <t xml:space="preserve">社、</t>
    </r>
    <r>
      <rPr>
        <sz val="10"/>
        <rFont val="Meiryo UI"/>
        <family val="0"/>
        <charset val="1"/>
      </rPr>
      <t xml:space="preserve">350Wh/kg</t>
    </r>
  </si>
  <si>
    <r>
      <rPr>
        <sz val="10"/>
        <rFont val="WenQuanYi Zen Hei"/>
        <family val="2"/>
      </rPr>
      <t xml:space="preserve">【軸の逆順】</t>
    </r>
    <r>
      <rPr>
        <sz val="10"/>
        <rFont val="Noto Sans CJK SC"/>
        <family val="2"/>
        <charset val="1"/>
      </rPr>
      <t xml:space="preserve">P3 </t>
    </r>
    <r>
      <rPr>
        <sz val="10"/>
        <rFont val="WenQuanYi Zen Hei"/>
        <family val="2"/>
      </rPr>
      <t xml:space="preserve">横棒グラフ（項目軸を逆順に設定）</t>
    </r>
  </si>
  <si>
    <r>
      <rPr>
        <sz val="11"/>
        <color theme="1"/>
        <rFont val="WenQuanYi Zen Hei"/>
        <family val="2"/>
      </rPr>
      <t xml:space="preserve">エネルギー密度（重量エネルギー密度）が</t>
    </r>
    <r>
      <rPr>
        <sz val="11"/>
        <color theme="1"/>
        <rFont val="Calibri"/>
        <family val="2"/>
        <charset val="1"/>
      </rPr>
      <t xml:space="preserve">2</t>
    </r>
    <r>
      <rPr>
        <sz val="11"/>
        <color theme="1"/>
        <rFont val="WenQuanYi Zen Hei"/>
        <family val="2"/>
      </rPr>
      <t xml:space="preserve">番目に高いのは </t>
    </r>
    <r>
      <rPr>
        <sz val="11"/>
        <color theme="1"/>
        <rFont val="Calibri"/>
        <family val="2"/>
        <charset val="1"/>
      </rPr>
      <t xml:space="preserve">**A</t>
    </r>
    <r>
      <rPr>
        <sz val="11"/>
        <color theme="1"/>
        <rFont val="WenQuanYi Zen Hei"/>
        <family val="2"/>
      </rPr>
      <t xml:space="preserve">社</t>
    </r>
    <r>
      <rPr>
        <sz val="11"/>
        <color theme="1"/>
        <rFont val="Calibri"/>
        <family val="2"/>
        <charset val="1"/>
      </rPr>
      <t xml:space="preserve">** </t>
    </r>
    <r>
      <rPr>
        <sz val="11"/>
        <color theme="1"/>
        <rFont val="WenQuanYi Zen Hei"/>
        <family val="2"/>
      </rPr>
      <t xml:space="preserve">で、値は </t>
    </r>
    <r>
      <rPr>
        <sz val="11"/>
        <color theme="1"/>
        <rFont val="Calibri"/>
        <family val="2"/>
        <charset val="1"/>
      </rPr>
      <t xml:space="preserve">**350 Wh/kg** </t>
    </r>
    <r>
      <rPr>
        <sz val="11"/>
        <color theme="1"/>
        <rFont val="WenQuanYi Zen Hei"/>
        <family val="2"/>
      </rPr>
      <t xml:space="preserve">です。
（</t>
    </r>
    <r>
      <rPr>
        <sz val="11"/>
        <color theme="1"/>
        <rFont val="Calibri"/>
        <family val="2"/>
        <charset val="1"/>
      </rPr>
      <t xml:space="preserve">1</t>
    </r>
    <r>
      <rPr>
        <sz val="11"/>
        <color theme="1"/>
        <rFont val="WenQuanYi Zen Hei"/>
        <family val="2"/>
      </rPr>
      <t xml:space="preserve">位は当社 第</t>
    </r>
    <r>
      <rPr>
        <sz val="11"/>
        <color theme="1"/>
        <rFont val="Calibri"/>
        <family val="2"/>
        <charset val="1"/>
      </rPr>
      <t xml:space="preserve">3</t>
    </r>
    <r>
      <rPr>
        <sz val="11"/>
        <color theme="1"/>
        <rFont val="WenQuanYi Zen Hei"/>
        <family val="2"/>
      </rPr>
      <t xml:space="preserve">世代（開発中）の</t>
    </r>
    <r>
      <rPr>
        <sz val="11"/>
        <color theme="1"/>
        <rFont val="Calibri"/>
        <family val="2"/>
        <charset val="1"/>
      </rPr>
      <t xml:space="preserve">420 Wh/kg</t>
    </r>
    <r>
      <rPr>
        <sz val="11"/>
        <color theme="1"/>
        <rFont val="WenQuanYi Zen Hei"/>
        <family val="2"/>
      </rPr>
      <t xml:space="preserve">。出典：スライド</t>
    </r>
    <r>
      <rPr>
        <sz val="11"/>
        <color theme="1"/>
        <rFont val="Calibri"/>
        <family val="2"/>
        <charset val="1"/>
      </rPr>
      <t xml:space="preserve">3</t>
    </r>
    <r>
      <rPr>
        <sz val="11"/>
        <color theme="1"/>
        <rFont val="WenQuanYi Zen Hei"/>
        <family val="2"/>
      </rPr>
      <t xml:space="preserve">、競合の値は各社の公開資料による</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9</t>
    </r>
    <r>
      <rPr>
        <sz val="11"/>
        <color theme="1"/>
        <rFont val="WenQuanYi Zen Hei"/>
        <family val="2"/>
      </rPr>
      <t xml:space="preserve">月時点の値）</t>
    </r>
  </si>
  <si>
    <t xml:space="preserve">10-03</t>
  </si>
  <si>
    <r>
      <rPr>
        <sz val="10"/>
        <rFont val="WenQuanYi Zen Hei"/>
        <family val="2"/>
      </rPr>
      <t xml:space="preserve">当社の第</t>
    </r>
    <r>
      <rPr>
        <sz val="10"/>
        <rFont val="Noto Sans CJK SC"/>
        <family val="2"/>
        <charset val="1"/>
      </rPr>
      <t xml:space="preserve">3</t>
    </r>
    <r>
      <rPr>
        <sz val="10"/>
        <rFont val="WenQuanYi Zen Hei"/>
        <family val="2"/>
      </rPr>
      <t xml:space="preserve">世代と</t>
    </r>
    <r>
      <rPr>
        <sz val="10"/>
        <rFont val="Noto Sans CJK SC"/>
        <family val="2"/>
        <charset val="1"/>
      </rPr>
      <t xml:space="preserve">C</t>
    </r>
    <r>
      <rPr>
        <sz val="10"/>
        <rFont val="WenQuanYi Zen Hei"/>
        <family val="2"/>
      </rPr>
      <t xml:space="preserve">社のエネルギー密度の差は何</t>
    </r>
    <r>
      <rPr>
        <sz val="10"/>
        <rFont val="Noto Sans CJK SC"/>
        <family val="2"/>
        <charset val="1"/>
      </rPr>
      <t xml:space="preserve">Wh/kg</t>
    </r>
    <r>
      <rPr>
        <sz val="10"/>
        <rFont val="WenQuanYi Zen Hei"/>
        <family val="2"/>
      </rPr>
      <t xml:space="preserve">ですか？</t>
    </r>
  </si>
  <si>
    <r>
      <rPr>
        <sz val="10"/>
        <rFont val="Meiryo UI"/>
        <family val="0"/>
        <charset val="1"/>
      </rPr>
      <t xml:space="preserve">140Wh/kg</t>
    </r>
    <r>
      <rPr>
        <sz val="10"/>
        <rFont val="WenQuanYi Zen Hei"/>
        <family val="2"/>
      </rPr>
      <t xml:space="preserve">（</t>
    </r>
    <r>
      <rPr>
        <sz val="10"/>
        <rFont val="Meiryo UI"/>
        <family val="0"/>
        <charset val="1"/>
      </rPr>
      <t xml:space="preserve">420−280</t>
    </r>
    <r>
      <rPr>
        <sz val="10"/>
        <rFont val="WenQuanYi Zen Hei"/>
        <family val="2"/>
      </rPr>
      <t xml:space="preserve">）</t>
    </r>
  </si>
  <si>
    <r>
      <rPr>
        <sz val="10"/>
        <rFont val="WenQuanYi Zen Hei"/>
        <family val="2"/>
      </rPr>
      <t xml:space="preserve">【計算】</t>
    </r>
    <r>
      <rPr>
        <sz val="10"/>
        <rFont val="Noto Sans CJK SC"/>
        <family val="2"/>
        <charset val="1"/>
      </rPr>
      <t xml:space="preserve">P3 </t>
    </r>
    <r>
      <rPr>
        <sz val="10"/>
        <rFont val="WenQuanYi Zen Hei"/>
        <family val="2"/>
      </rPr>
      <t xml:space="preserve">横棒グラフ</t>
    </r>
  </si>
  <si>
    <t xml:space="preserve">140Wh/kg</t>
  </si>
  <si>
    <r>
      <rPr>
        <sz val="11"/>
        <color theme="1"/>
        <rFont val="WenQuanYi Zen Hei"/>
        <family val="2"/>
      </rPr>
      <t xml:space="preserve">当社の第</t>
    </r>
    <r>
      <rPr>
        <sz val="11"/>
        <color theme="1"/>
        <rFont val="Calibri"/>
        <family val="2"/>
        <charset val="1"/>
      </rPr>
      <t xml:space="preserve">3</t>
    </r>
    <r>
      <rPr>
        <sz val="11"/>
        <color theme="1"/>
        <rFont val="WenQuanYi Zen Hei"/>
        <family val="2"/>
      </rPr>
      <t xml:space="preserve">世代（</t>
    </r>
    <r>
      <rPr>
        <sz val="11"/>
        <color theme="1"/>
        <rFont val="Calibri"/>
        <family val="2"/>
        <charset val="1"/>
      </rPr>
      <t xml:space="preserve">420 Wh/kg</t>
    </r>
    <r>
      <rPr>
        <sz val="11"/>
        <color theme="1"/>
        <rFont val="WenQuanYi Zen Hei"/>
        <family val="2"/>
      </rPr>
      <t xml:space="preserve">）と</t>
    </r>
    <r>
      <rPr>
        <sz val="11"/>
        <color theme="1"/>
        <rFont val="Calibri"/>
        <family val="2"/>
        <charset val="1"/>
      </rPr>
      <t xml:space="preserve">C</t>
    </r>
    <r>
      <rPr>
        <sz val="11"/>
        <color theme="1"/>
        <rFont val="WenQuanYi Zen Hei"/>
        <family val="2"/>
      </rPr>
      <t xml:space="preserve">社（</t>
    </r>
    <r>
      <rPr>
        <sz val="11"/>
        <color theme="1"/>
        <rFont val="Calibri"/>
        <family val="2"/>
        <charset val="1"/>
      </rPr>
      <t xml:space="preserve">280 Wh/kg</t>
    </r>
    <r>
      <rPr>
        <sz val="11"/>
        <color theme="1"/>
        <rFont val="WenQuanYi Zen Hei"/>
        <family val="2"/>
      </rPr>
      <t xml:space="preserve">）のエネルギー密度の差は、</t>
    </r>
    <r>
      <rPr>
        <sz val="11"/>
        <color theme="1"/>
        <rFont val="Calibri"/>
        <family val="2"/>
        <charset val="1"/>
      </rPr>
      <t xml:space="preserve">140 Wh/kg</t>
    </r>
    <r>
      <rPr>
        <sz val="11"/>
        <color theme="1"/>
        <rFont val="WenQuanYi Zen Hei"/>
        <family val="2"/>
      </rPr>
      <t xml:space="preserve">です。</t>
    </r>
  </si>
  <si>
    <t xml:space="preserve">10-04</t>
  </si>
  <si>
    <t xml:space="preserve">正極材の化学式で、ニッケルの組成比はいくつですか？</t>
  </si>
  <si>
    <r>
      <rPr>
        <sz val="10"/>
        <rFont val="Meiryo UI"/>
        <family val="0"/>
        <charset val="1"/>
      </rPr>
      <t xml:space="preserve">0.8</t>
    </r>
    <r>
      <rPr>
        <sz val="10"/>
        <rFont val="WenQuanYi Zen Hei"/>
        <family val="2"/>
      </rPr>
      <t xml:space="preserve">（</t>
    </r>
    <r>
      <rPr>
        <sz val="10"/>
        <rFont val="Meiryo UI"/>
        <family val="0"/>
        <charset val="1"/>
      </rPr>
      <t xml:space="preserve">LiNi₀.₈Mn₀.₁Co₀.₁O₂</t>
    </r>
    <r>
      <rPr>
        <sz val="10"/>
        <rFont val="WenQuanYi Zen Hei"/>
        <family val="2"/>
      </rPr>
      <t xml:space="preserve">）</t>
    </r>
  </si>
  <si>
    <r>
      <rPr>
        <sz val="10"/>
        <rFont val="WenQuanYi Zen Hei"/>
        <family val="2"/>
      </rPr>
      <t xml:space="preserve">【下付き文字（化学式）】</t>
    </r>
    <r>
      <rPr>
        <sz val="10"/>
        <rFont val="Noto Sans CJK SC"/>
        <family val="2"/>
        <charset val="1"/>
      </rPr>
      <t xml:space="preserve">P4 </t>
    </r>
    <r>
      <rPr>
        <sz val="10"/>
        <rFont val="WenQuanYi Zen Hei"/>
        <family val="2"/>
      </rPr>
      <t xml:space="preserve">下付き文字</t>
    </r>
  </si>
  <si>
    <t xml:space="preserve">0.8</t>
  </si>
  <si>
    <r>
      <rPr>
        <sz val="11"/>
        <color theme="1"/>
        <rFont val="WenQuanYi Zen Hei"/>
        <family val="2"/>
      </rPr>
      <t xml:space="preserve">正極材の化学式は </t>
    </r>
    <r>
      <rPr>
        <sz val="11"/>
        <color theme="1"/>
        <rFont val="Calibri"/>
        <family val="2"/>
        <charset val="1"/>
      </rPr>
      <t xml:space="preserve">LiNi₀.₈Mn₀.₁Co₀.₁O₂</t>
    </r>
    <r>
      <rPr>
        <sz val="11"/>
        <color theme="1"/>
        <rFont val="WenQuanYi Zen Hei"/>
        <family val="2"/>
      </rPr>
      <t xml:space="preserve">（</t>
    </r>
    <r>
      <rPr>
        <sz val="11"/>
        <color theme="1"/>
        <rFont val="Calibri"/>
        <family val="2"/>
        <charset val="1"/>
      </rPr>
      <t xml:space="preserve">NMC811</t>
    </r>
    <r>
      <rPr>
        <sz val="11"/>
        <color theme="1"/>
        <rFont val="WenQuanYi Zen Hei"/>
        <family val="2"/>
      </rPr>
      <t xml:space="preserve">）なので、ニッケルの組成比は </t>
    </r>
    <r>
      <rPr>
        <sz val="11"/>
        <color theme="1"/>
        <rFont val="Calibri"/>
        <family val="2"/>
        <charset val="1"/>
      </rPr>
      <t xml:space="preserve">**0.8** </t>
    </r>
    <r>
      <rPr>
        <sz val="11"/>
        <color theme="1"/>
        <rFont val="WenQuanYi Zen Hei"/>
        <family val="2"/>
      </rPr>
      <t xml:space="preserve">です（ニッケル：マンガン：コバルト ＝ </t>
    </r>
    <r>
      <rPr>
        <sz val="11"/>
        <color theme="1"/>
        <rFont val="Calibri"/>
        <family val="2"/>
        <charset val="1"/>
      </rPr>
      <t xml:space="preserve">8</t>
    </r>
    <r>
      <rPr>
        <sz val="11"/>
        <color theme="1"/>
        <rFont val="WenQuanYi Zen Hei"/>
        <family val="2"/>
      </rPr>
      <t xml:space="preserve">：</t>
    </r>
    <r>
      <rPr>
        <sz val="11"/>
        <color theme="1"/>
        <rFont val="Calibri"/>
        <family val="2"/>
        <charset val="1"/>
      </rPr>
      <t xml:space="preserve">1</t>
    </r>
    <r>
      <rPr>
        <sz val="11"/>
        <color theme="1"/>
        <rFont val="WenQuanYi Zen Hei"/>
        <family val="2"/>
      </rPr>
      <t xml:space="preserve">：</t>
    </r>
    <r>
      <rPr>
        <sz val="11"/>
        <color theme="1"/>
        <rFont val="Calibri"/>
        <family val="2"/>
        <charset val="1"/>
      </rPr>
      <t xml:space="preserve">1</t>
    </r>
    <r>
      <rPr>
        <sz val="11"/>
        <color theme="1"/>
        <rFont val="WenQuanYi Zen Hei"/>
        <family val="2"/>
      </rPr>
      <t xml:space="preserve">）。</t>
    </r>
  </si>
  <si>
    <t xml:space="preserve">10-05</t>
  </si>
  <si>
    <r>
      <rPr>
        <sz val="10"/>
        <rFont val="Meiryo UI"/>
        <family val="0"/>
        <charset val="1"/>
      </rPr>
      <t xml:space="preserve">500</t>
    </r>
    <r>
      <rPr>
        <sz val="10"/>
        <rFont val="WenQuanYi Zen Hei"/>
        <family val="2"/>
      </rPr>
      <t xml:space="preserve">サイクル後の容量維持率は何％ですか？</t>
    </r>
  </si>
  <si>
    <r>
      <rPr>
        <sz val="10"/>
        <rFont val="Meiryo UI"/>
        <family val="0"/>
        <charset val="1"/>
      </rPr>
      <t xml:space="preserve">92.4%</t>
    </r>
    <r>
      <rPr>
        <sz val="10"/>
        <rFont val="WenQuanYi Zen Hei"/>
        <family val="2"/>
      </rPr>
      <t xml:space="preserve">（</t>
    </r>
    <r>
      <rPr>
        <sz val="10"/>
        <rFont val="Meiryo UI"/>
        <family val="0"/>
        <charset val="1"/>
      </rPr>
      <t xml:space="preserve">C₅₀₀÷C₁×100</t>
    </r>
    <r>
      <rPr>
        <sz val="10"/>
        <rFont val="WenQuanYi Zen Hei"/>
        <family val="2"/>
      </rPr>
      <t xml:space="preserve">）</t>
    </r>
  </si>
  <si>
    <r>
      <rPr>
        <sz val="10"/>
        <rFont val="WenQuanYi Zen Hei"/>
        <family val="2"/>
      </rPr>
      <t xml:space="preserve">【下付き文字（数式）】</t>
    </r>
    <r>
      <rPr>
        <sz val="10"/>
        <rFont val="Noto Sans CJK SC"/>
        <family val="2"/>
        <charset val="1"/>
      </rPr>
      <t xml:space="preserve">P4 </t>
    </r>
    <r>
      <rPr>
        <sz val="10"/>
        <rFont val="WenQuanYi Zen Hei"/>
        <family val="2"/>
      </rPr>
      <t xml:space="preserve">下付き文字を含む式</t>
    </r>
  </si>
  <si>
    <t xml:space="preserve">92.4%</t>
  </si>
  <si>
    <r>
      <rPr>
        <sz val="11"/>
        <color theme="1"/>
        <rFont val="Calibri"/>
        <family val="2"/>
        <charset val="1"/>
      </rPr>
      <t xml:space="preserve">500</t>
    </r>
    <r>
      <rPr>
        <sz val="11"/>
        <color theme="1"/>
        <rFont val="WenQuanYi Zen Hei"/>
        <family val="2"/>
      </rPr>
      <t xml:space="preserve">サイクル後の容量維持率は</t>
    </r>
    <r>
      <rPr>
        <sz val="11"/>
        <color theme="1"/>
        <rFont val="Calibri"/>
        <family val="2"/>
        <charset val="1"/>
      </rPr>
      <t xml:space="preserve">92.4%</t>
    </r>
    <r>
      <rPr>
        <sz val="11"/>
        <color theme="1"/>
        <rFont val="WenQuanYi Zen Hei"/>
        <family val="2"/>
      </rPr>
      <t xml:space="preserve">です（スライド</t>
    </r>
    <r>
      <rPr>
        <sz val="11"/>
        <color theme="1"/>
        <rFont val="Calibri"/>
        <family val="2"/>
        <charset val="1"/>
      </rPr>
      <t xml:space="preserve">4</t>
    </r>
    <r>
      <rPr>
        <sz val="11"/>
        <color theme="1"/>
        <rFont val="WenQuanYi Zen Hei"/>
        <family val="2"/>
      </rPr>
      <t xml:space="preserve">：容量維持率 ＝ </t>
    </r>
    <r>
      <rPr>
        <sz val="11"/>
        <color theme="1"/>
        <rFont val="Calibri"/>
        <family val="2"/>
        <charset val="1"/>
      </rPr>
      <t xml:space="preserve">C₅₀₀ ÷ C₁ × 100 </t>
    </r>
    <r>
      <rPr>
        <sz val="11"/>
        <color theme="1"/>
        <rFont val="WenQuanYi Zen Hei"/>
        <family val="2"/>
      </rPr>
      <t xml:space="preserve">＝ </t>
    </r>
    <r>
      <rPr>
        <sz val="11"/>
        <color theme="1"/>
        <rFont val="Calibri"/>
        <family val="2"/>
        <charset val="1"/>
      </rPr>
      <t xml:space="preserve">92.4%</t>
    </r>
    <r>
      <rPr>
        <sz val="11"/>
        <color theme="1"/>
        <rFont val="WenQuanYi Zen Hei"/>
        <family val="2"/>
      </rPr>
      <t xml:space="preserve">。</t>
    </r>
    <r>
      <rPr>
        <sz val="11"/>
        <color theme="1"/>
        <rFont val="Calibri"/>
        <family val="2"/>
        <charset val="1"/>
      </rPr>
      <t xml:space="preserve">500</t>
    </r>
    <r>
      <rPr>
        <sz val="11"/>
        <color theme="1"/>
        <rFont val="WenQuanYi Zen Hei"/>
        <family val="2"/>
      </rPr>
      <t xml:space="preserve">サイクル目の放電容量が</t>
    </r>
    <r>
      <rPr>
        <sz val="11"/>
        <color theme="1"/>
        <rFont val="Calibri"/>
        <family val="2"/>
        <charset val="1"/>
      </rPr>
      <t xml:space="preserve">1</t>
    </r>
    <r>
      <rPr>
        <sz val="11"/>
        <color theme="1"/>
        <rFont val="WenQuanYi Zen Hei"/>
        <family val="2"/>
      </rPr>
      <t xml:space="preserve">サイクル目の</t>
    </r>
    <r>
      <rPr>
        <sz val="11"/>
        <color theme="1"/>
        <rFont val="Calibri"/>
        <family val="2"/>
        <charset val="1"/>
      </rPr>
      <t xml:space="preserve">92.4%</t>
    </r>
    <r>
      <rPr>
        <sz val="11"/>
        <color theme="1"/>
        <rFont val="WenQuanYi Zen Hei"/>
        <family val="2"/>
      </rPr>
      <t xml:space="preserve">）。</t>
    </r>
  </si>
  <si>
    <t xml:space="preserve">10-06</t>
  </si>
  <si>
    <r>
      <rPr>
        <sz val="10"/>
        <rFont val="Meiryo UI"/>
        <family val="0"/>
        <charset val="1"/>
      </rPr>
      <t xml:space="preserve">TRL</t>
    </r>
    <r>
      <rPr>
        <sz val="10"/>
        <rFont val="WenQuanYi Zen Hei"/>
        <family val="2"/>
      </rPr>
      <t xml:space="preserve">が最も低い要素技術と、そのレベルを答えてください。</t>
    </r>
  </si>
  <si>
    <r>
      <rPr>
        <sz val="10"/>
        <rFont val="WenQuanYi Zen Hei"/>
        <family val="2"/>
      </rPr>
      <t xml:space="preserve">シリコン系負極、</t>
    </r>
    <r>
      <rPr>
        <sz val="10"/>
        <rFont val="Noto Sans CJK SC"/>
        <family val="2"/>
        <charset val="1"/>
      </rPr>
      <t xml:space="preserve">TRL4</t>
    </r>
  </si>
  <si>
    <r>
      <rPr>
        <sz val="10"/>
        <rFont val="WenQuanYi Zen Hei"/>
        <family val="2"/>
      </rPr>
      <t xml:space="preserve">【図形の長さ】</t>
    </r>
    <r>
      <rPr>
        <sz val="10"/>
        <rFont val="Noto Sans CJK SC"/>
        <family val="2"/>
        <charset val="1"/>
      </rPr>
      <t xml:space="preserve">P5 </t>
    </r>
    <r>
      <rPr>
        <sz val="10"/>
        <rFont val="WenQuanYi Zen Hei"/>
        <family val="2"/>
      </rPr>
      <t xml:space="preserve">バーの長さと目盛（数値の記載なし）</t>
    </r>
  </si>
  <si>
    <r>
      <rPr>
        <sz val="10"/>
        <rFont val="WenQuanYi Zen Hei"/>
        <family val="2"/>
      </rPr>
      <t xml:space="preserve">シリコン系負極、</t>
    </r>
    <r>
      <rPr>
        <sz val="10"/>
        <rFont val="Meiryo UI"/>
        <family val="0"/>
        <charset val="1"/>
      </rPr>
      <t xml:space="preserve">TRL4</t>
    </r>
  </si>
  <si>
    <r>
      <rPr>
        <sz val="11"/>
        <color theme="1"/>
        <rFont val="Calibri"/>
        <family val="2"/>
        <charset val="1"/>
      </rPr>
      <t xml:space="preserve">TRL</t>
    </r>
    <r>
      <rPr>
        <sz val="11"/>
        <color theme="1"/>
        <rFont val="WenQuanYi Zen Hei"/>
        <family val="2"/>
      </rPr>
      <t xml:space="preserve">が最も低い要素技術は「シリコン系負極」で、レベルは「</t>
    </r>
    <r>
      <rPr>
        <sz val="11"/>
        <color theme="1"/>
        <rFont val="Calibri"/>
        <family val="2"/>
        <charset val="1"/>
      </rPr>
      <t xml:space="preserve">TRL4</t>
    </r>
    <r>
      <rPr>
        <sz val="11"/>
        <color theme="1"/>
        <rFont val="WenQuanYi Zen Hei"/>
        <family val="2"/>
      </rPr>
      <t xml:space="preserve">」です（スライド</t>
    </r>
    <r>
      <rPr>
        <sz val="11"/>
        <color theme="1"/>
        <rFont val="Calibri"/>
        <family val="2"/>
        <charset val="1"/>
      </rPr>
      <t xml:space="preserve">5</t>
    </r>
    <r>
      <rPr>
        <sz val="11"/>
        <color theme="1"/>
        <rFont val="WenQuanYi Zen Hei"/>
        <family val="2"/>
      </rPr>
      <t xml:space="preserve">）。
※なお、資料の注記によると、</t>
    </r>
    <r>
      <rPr>
        <sz val="11"/>
        <color theme="1"/>
        <rFont val="Calibri"/>
        <family val="2"/>
        <charset val="1"/>
      </rPr>
      <t xml:space="preserve">TRL</t>
    </r>
    <r>
      <rPr>
        <sz val="11"/>
        <color theme="1"/>
        <rFont val="WenQuanYi Zen Hei"/>
        <family val="2"/>
      </rPr>
      <t xml:space="preserve">の値は図の棒の終点の位置から読み取ったもので、スライドに数値の記載はありません。</t>
    </r>
  </si>
  <si>
    <t xml:space="preserve">10-07</t>
  </si>
  <si>
    <r>
      <rPr>
        <sz val="10"/>
        <rFont val="Meiryo UI"/>
        <family val="0"/>
        <charset val="1"/>
      </rPr>
      <t xml:space="preserve">TRL7</t>
    </r>
    <r>
      <rPr>
        <sz val="10"/>
        <rFont val="WenQuanYi Zen Hei"/>
        <family val="2"/>
      </rPr>
      <t xml:space="preserve">に達している技術はどれですか？</t>
    </r>
  </si>
  <si>
    <t xml:space="preserve">高ニッケル正極</t>
  </si>
  <si>
    <r>
      <rPr>
        <sz val="10"/>
        <rFont val="WenQuanYi Zen Hei"/>
        <family val="2"/>
      </rPr>
      <t xml:space="preserve">【図形の長さ】</t>
    </r>
    <r>
      <rPr>
        <sz val="10"/>
        <rFont val="Noto Sans CJK SC"/>
        <family val="2"/>
        <charset val="1"/>
      </rPr>
      <t xml:space="preserve">P5 </t>
    </r>
    <r>
      <rPr>
        <sz val="10"/>
        <rFont val="WenQuanYi Zen Hei"/>
        <family val="2"/>
      </rPr>
      <t xml:space="preserve">バーの長さ</t>
    </r>
  </si>
  <si>
    <r>
      <rPr>
        <sz val="11"/>
        <color theme="1"/>
        <rFont val="Calibri"/>
        <family val="2"/>
        <charset val="1"/>
      </rPr>
      <t xml:space="preserve">TRL7</t>
    </r>
    <r>
      <rPr>
        <sz val="11"/>
        <color theme="1"/>
        <rFont val="WenQuanYi Zen Hei"/>
        <family val="2"/>
      </rPr>
      <t xml:space="preserve">に達している技術は「高ニッケル正極」です（スライド</t>
    </r>
    <r>
      <rPr>
        <sz val="11"/>
        <color theme="1"/>
        <rFont val="Calibri"/>
        <family val="2"/>
        <charset val="1"/>
      </rPr>
      <t xml:space="preserve">5</t>
    </r>
    <r>
      <rPr>
        <sz val="11"/>
        <color theme="1"/>
        <rFont val="WenQuanYi Zen Hei"/>
        <family val="2"/>
      </rPr>
      <t xml:space="preserve">）。
なお、</t>
    </r>
    <r>
      <rPr>
        <sz val="11"/>
        <color theme="1"/>
        <rFont val="Calibri"/>
        <family val="2"/>
        <charset val="1"/>
      </rPr>
      <t xml:space="preserve">TRL</t>
    </r>
    <r>
      <rPr>
        <sz val="11"/>
        <color theme="1"/>
        <rFont val="WenQuanYi Zen Hei"/>
        <family val="2"/>
      </rPr>
      <t xml:space="preserve">の値は図の棒の終点の位置から読み取ったもので、スライドに数値は書かれていません。
ほかの要素技術は、急速充電制御が</t>
    </r>
    <r>
      <rPr>
        <sz val="11"/>
        <color theme="1"/>
        <rFont val="Calibri"/>
        <family val="2"/>
        <charset val="1"/>
      </rPr>
      <t xml:space="preserve">TRL6</t>
    </r>
    <r>
      <rPr>
        <sz val="11"/>
        <color theme="1"/>
        <rFont val="WenQuanYi Zen Hei"/>
        <family val="2"/>
      </rPr>
      <t xml:space="preserve">、固体電解質が</t>
    </r>
    <r>
      <rPr>
        <sz val="11"/>
        <color theme="1"/>
        <rFont val="Calibri"/>
        <family val="2"/>
        <charset val="1"/>
      </rPr>
      <t xml:space="preserve">TRL5</t>
    </r>
    <r>
      <rPr>
        <sz val="11"/>
        <color theme="1"/>
        <rFont val="WenQuanYi Zen Hei"/>
        <family val="2"/>
      </rPr>
      <t xml:space="preserve">、シリコン系負極が</t>
    </r>
    <r>
      <rPr>
        <sz val="11"/>
        <color theme="1"/>
        <rFont val="Calibri"/>
        <family val="2"/>
        <charset val="1"/>
      </rPr>
      <t xml:space="preserve">TRL4</t>
    </r>
    <r>
      <rPr>
        <sz val="11"/>
        <color theme="1"/>
        <rFont val="WenQuanYi Zen Hei"/>
        <family val="2"/>
      </rPr>
      <t xml:space="preserve">です。</t>
    </r>
  </si>
  <si>
    <t xml:space="preserve">10-08</t>
  </si>
  <si>
    <t xml:space="preserve">実用化判断の基準を満たしている技術をすべて答えてください。</t>
  </si>
  <si>
    <r>
      <rPr>
        <sz val="10"/>
        <rFont val="WenQuanYi Zen Hei"/>
        <family val="2"/>
      </rPr>
      <t xml:space="preserve">高ニッケル正極（</t>
    </r>
    <r>
      <rPr>
        <sz val="10"/>
        <rFont val="Noto Sans CJK SC"/>
        <family val="2"/>
        <charset val="1"/>
      </rPr>
      <t xml:space="preserve">TRL7</t>
    </r>
    <r>
      <rPr>
        <sz val="10"/>
        <rFont val="WenQuanYi Zen Hei"/>
        <family val="2"/>
      </rPr>
      <t xml:space="preserve">）、急速充電制御（</t>
    </r>
    <r>
      <rPr>
        <sz val="10"/>
        <rFont val="Noto Sans CJK SC"/>
        <family val="2"/>
        <charset val="1"/>
      </rPr>
      <t xml:space="preserve">TRL6</t>
    </r>
    <r>
      <rPr>
        <sz val="10"/>
        <rFont val="WenQuanYi Zen Hei"/>
        <family val="2"/>
      </rPr>
      <t xml:space="preserve">）</t>
    </r>
  </si>
  <si>
    <r>
      <rPr>
        <sz val="10"/>
        <rFont val="WenQuanYi Zen Hei"/>
        <family val="2"/>
      </rPr>
      <t xml:space="preserve">【図形の長さ】</t>
    </r>
    <r>
      <rPr>
        <sz val="10"/>
        <rFont val="Noto Sans CJK SC"/>
        <family val="2"/>
        <charset val="1"/>
      </rPr>
      <t xml:space="preserve">P5 </t>
    </r>
    <r>
      <rPr>
        <sz val="10"/>
        <rFont val="WenQuanYi Zen Hei"/>
        <family val="2"/>
      </rPr>
      <t xml:space="preserve">基準線（</t>
    </r>
    <r>
      <rPr>
        <sz val="10"/>
        <rFont val="Noto Sans CJK SC"/>
        <family val="2"/>
        <charset val="1"/>
      </rPr>
      <t xml:space="preserve">TRL6</t>
    </r>
    <r>
      <rPr>
        <sz val="10"/>
        <rFont val="WenQuanYi Zen Hei"/>
        <family val="2"/>
      </rPr>
      <t xml:space="preserve">）とバー</t>
    </r>
  </si>
  <si>
    <r>
      <rPr>
        <sz val="10"/>
        <rFont val="WenQuanYi Zen Hei"/>
        <family val="2"/>
      </rPr>
      <t xml:space="preserve">高ニッケル正極（</t>
    </r>
    <r>
      <rPr>
        <sz val="10"/>
        <rFont val="Meiryo UI"/>
        <family val="0"/>
        <charset val="1"/>
      </rPr>
      <t xml:space="preserve">TRL7</t>
    </r>
    <r>
      <rPr>
        <sz val="10"/>
        <rFont val="WenQuanYi Zen Hei"/>
        <family val="2"/>
      </rPr>
      <t xml:space="preserve">）、急速充電制御（</t>
    </r>
    <r>
      <rPr>
        <sz val="10"/>
        <rFont val="Meiryo UI"/>
        <family val="0"/>
        <charset val="1"/>
      </rPr>
      <t xml:space="preserve">TRL6</t>
    </r>
    <r>
      <rPr>
        <sz val="10"/>
        <rFont val="WenQuanYi Zen Hei"/>
        <family val="2"/>
      </rPr>
      <t xml:space="preserve">）</t>
    </r>
  </si>
  <si>
    <r>
      <rPr>
        <sz val="11"/>
        <color theme="1"/>
        <rFont val="WenQuanYi Zen Hei"/>
        <family val="2"/>
      </rPr>
      <t xml:space="preserve">実用化判断の基準（</t>
    </r>
    <r>
      <rPr>
        <sz val="11"/>
        <color theme="1"/>
        <rFont val="Calibri"/>
        <family val="2"/>
        <charset val="1"/>
      </rPr>
      <t xml:space="preserve">TRL6</t>
    </r>
    <r>
      <rPr>
        <sz val="11"/>
        <color theme="1"/>
        <rFont val="WenQuanYi Zen Hei"/>
        <family val="2"/>
      </rPr>
      <t xml:space="preserve">以上）を満たしている技術は、次の</t>
    </r>
    <r>
      <rPr>
        <sz val="11"/>
        <color theme="1"/>
        <rFont val="Calibri"/>
        <family val="2"/>
        <charset val="1"/>
      </rPr>
      <t xml:space="preserve">2</t>
    </r>
    <r>
      <rPr>
        <sz val="11"/>
        <color theme="1"/>
        <rFont val="WenQuanYi Zen Hei"/>
        <family val="2"/>
      </rPr>
      <t xml:space="preserve">つです。
</t>
    </r>
    <r>
      <rPr>
        <sz val="11"/>
        <color theme="1"/>
        <rFont val="Calibri"/>
        <family val="2"/>
        <charset val="1"/>
      </rPr>
      <t xml:space="preserve">- </t>
    </r>
    <r>
      <rPr>
        <sz val="11"/>
        <color theme="1"/>
        <rFont val="WenQuanYi Zen Hei"/>
        <family val="2"/>
      </rPr>
      <t xml:space="preserve">高ニッケル正極（</t>
    </r>
    <r>
      <rPr>
        <sz val="11"/>
        <color theme="1"/>
        <rFont val="Calibri"/>
        <family val="2"/>
        <charset val="1"/>
      </rPr>
      <t xml:space="preserve">TRL7</t>
    </r>
    <r>
      <rPr>
        <sz val="11"/>
        <color theme="1"/>
        <rFont val="WenQuanYi Zen Hei"/>
        <family val="2"/>
      </rPr>
      <t xml:space="preserve">）
</t>
    </r>
    <r>
      <rPr>
        <sz val="11"/>
        <color theme="1"/>
        <rFont val="Calibri"/>
        <family val="2"/>
        <charset val="1"/>
      </rPr>
      <t xml:space="preserve">- </t>
    </r>
    <r>
      <rPr>
        <sz val="11"/>
        <color theme="1"/>
        <rFont val="WenQuanYi Zen Hei"/>
        <family val="2"/>
      </rPr>
      <t xml:space="preserve">急速充電制御（</t>
    </r>
    <r>
      <rPr>
        <sz val="11"/>
        <color theme="1"/>
        <rFont val="Calibri"/>
        <family val="2"/>
        <charset val="1"/>
      </rPr>
      <t xml:space="preserve">TRL6</t>
    </r>
    <r>
      <rPr>
        <sz val="11"/>
        <color theme="1"/>
        <rFont val="WenQuanYi Zen Hei"/>
        <family val="2"/>
      </rPr>
      <t xml:space="preserve">）
（スライド</t>
    </r>
    <r>
      <rPr>
        <sz val="11"/>
        <color theme="1"/>
        <rFont val="Calibri"/>
        <family val="2"/>
        <charset val="1"/>
      </rPr>
      <t xml:space="preserve">5</t>
    </r>
    <r>
      <rPr>
        <sz val="11"/>
        <color theme="1"/>
        <rFont val="WenQuanYi Zen Hei"/>
        <family val="2"/>
      </rPr>
      <t xml:space="preserve">「要素技術の成熟度（</t>
    </r>
    <r>
      <rPr>
        <sz val="11"/>
        <color theme="1"/>
        <rFont val="Calibri"/>
        <family val="2"/>
        <charset val="1"/>
      </rPr>
      <t xml:space="preserve">TRL</t>
    </r>
    <r>
      <rPr>
        <sz val="11"/>
        <color theme="1"/>
        <rFont val="WenQuanYi Zen Hei"/>
        <family val="2"/>
      </rPr>
      <t xml:space="preserve">）」より。固体電解質（</t>
    </r>
    <r>
      <rPr>
        <sz val="11"/>
        <color theme="1"/>
        <rFont val="Calibri"/>
        <family val="2"/>
        <charset val="1"/>
      </rPr>
      <t xml:space="preserve">TRL5</t>
    </r>
    <r>
      <rPr>
        <sz val="11"/>
        <color theme="1"/>
        <rFont val="WenQuanYi Zen Hei"/>
        <family val="2"/>
      </rPr>
      <t xml:space="preserve">）とシリコン系負極（</t>
    </r>
    <r>
      <rPr>
        <sz val="11"/>
        <color theme="1"/>
        <rFont val="Calibri"/>
        <family val="2"/>
        <charset val="1"/>
      </rPr>
      <t xml:space="preserve">TRL4</t>
    </r>
    <r>
      <rPr>
        <sz val="11"/>
        <color theme="1"/>
        <rFont val="WenQuanYi Zen Hei"/>
        <family val="2"/>
      </rPr>
      <t xml:space="preserve">）は基準未達です。なお、</t>
    </r>
    <r>
      <rPr>
        <sz val="11"/>
        <color theme="1"/>
        <rFont val="Calibri"/>
        <family val="2"/>
        <charset val="1"/>
      </rPr>
      <t xml:space="preserve">TRL</t>
    </r>
    <r>
      <rPr>
        <sz val="11"/>
        <color theme="1"/>
        <rFont val="WenQuanYi Zen Hei"/>
        <family val="2"/>
      </rPr>
      <t xml:space="preserve">の値は図の棒の終点の位置から読み取ったもので、スライドに数値の記載はありません。）</t>
    </r>
  </si>
  <si>
    <t xml:space="preserve">10-09</t>
  </si>
  <si>
    <r>
      <rPr>
        <sz val="10"/>
        <rFont val="WenQuanYi Zen Hei"/>
        <family val="2"/>
      </rPr>
      <t xml:space="preserve">第</t>
    </r>
    <r>
      <rPr>
        <sz val="10"/>
        <rFont val="Noto Sans CJK SC"/>
        <family val="2"/>
        <charset val="1"/>
      </rPr>
      <t xml:space="preserve">3</t>
    </r>
    <r>
      <rPr>
        <sz val="10"/>
        <rFont val="WenQuanYi Zen Hei"/>
        <family val="2"/>
      </rPr>
      <t xml:space="preserve">世代セルの量産開始の前提となっているマイルストーンは何ですか？それはいつですか？</t>
    </r>
  </si>
  <si>
    <r>
      <rPr>
        <sz val="10"/>
        <rFont val="WenQuanYi Zen Hei"/>
        <family val="2"/>
      </rPr>
      <t xml:space="preserve">固体電解質の量産技術の確立（</t>
    </r>
    <r>
      <rPr>
        <sz val="10"/>
        <rFont val="Noto Sans CJK SC"/>
        <family val="2"/>
        <charset val="1"/>
      </rPr>
      <t xml:space="preserve">2029</t>
    </r>
    <r>
      <rPr>
        <sz val="10"/>
        <rFont val="WenQuanYi Zen Hei"/>
        <family val="2"/>
      </rPr>
      <t xml:space="preserve">年）</t>
    </r>
  </si>
  <si>
    <r>
      <rPr>
        <sz val="10"/>
        <rFont val="WenQuanYi Zen Hei"/>
        <family val="2"/>
      </rPr>
      <t xml:space="preserve">【図解（依存関係）】</t>
    </r>
    <r>
      <rPr>
        <sz val="10"/>
        <rFont val="Noto Sans CJK SC"/>
        <family val="2"/>
        <charset val="1"/>
      </rPr>
      <t xml:space="preserve">P6 </t>
    </r>
    <r>
      <rPr>
        <sz val="10"/>
        <rFont val="WenQuanYi Zen Hei"/>
        <family val="2"/>
      </rPr>
      <t xml:space="preserve">赤矢印</t>
    </r>
  </si>
  <si>
    <r>
      <rPr>
        <sz val="10"/>
        <rFont val="WenQuanYi Zen Hei"/>
        <family val="2"/>
      </rPr>
      <t xml:space="preserve">固体電解質の量産技術の確立（</t>
    </r>
    <r>
      <rPr>
        <sz val="10"/>
        <rFont val="Meiryo UI"/>
        <family val="0"/>
        <charset val="1"/>
      </rPr>
      <t xml:space="preserve">2029</t>
    </r>
    <r>
      <rPr>
        <sz val="10"/>
        <rFont val="WenQuanYi Zen Hei"/>
        <family val="2"/>
      </rPr>
      <t xml:space="preserve">年）</t>
    </r>
  </si>
  <si>
    <r>
      <rPr>
        <sz val="11"/>
        <color theme="1"/>
        <rFont val="WenQuanYi Zen Hei"/>
        <family val="2"/>
      </rPr>
      <t xml:space="preserve">第</t>
    </r>
    <r>
      <rPr>
        <sz val="11"/>
        <color theme="1"/>
        <rFont val="Calibri"/>
        <family val="2"/>
        <charset val="1"/>
      </rPr>
      <t xml:space="preserve">3</t>
    </r>
    <r>
      <rPr>
        <sz val="11"/>
        <color theme="1"/>
        <rFont val="WenQuanYi Zen Hei"/>
        <family val="2"/>
      </rPr>
      <t xml:space="preserve">世代セルの量産開始（</t>
    </r>
    <r>
      <rPr>
        <sz val="11"/>
        <color theme="1"/>
        <rFont val="Calibri"/>
        <family val="2"/>
        <charset val="1"/>
      </rPr>
      <t xml:space="preserve">2030</t>
    </r>
    <r>
      <rPr>
        <sz val="11"/>
        <color theme="1"/>
        <rFont val="WenQuanYi Zen Hei"/>
        <family val="2"/>
      </rPr>
      <t xml:space="preserve">年）の前提となっているマイルストーンは、材料レーンの「固体電解質の量産技術の確立」で、時期は</t>
    </r>
    <r>
      <rPr>
        <sz val="11"/>
        <color theme="1"/>
        <rFont val="Calibri"/>
        <family val="2"/>
        <charset val="1"/>
      </rPr>
      <t xml:space="preserve">2029</t>
    </r>
    <r>
      <rPr>
        <sz val="11"/>
        <color theme="1"/>
        <rFont val="WenQuanYi Zen Hei"/>
        <family val="2"/>
      </rPr>
      <t xml:space="preserve">年です（スライド</t>
    </r>
    <r>
      <rPr>
        <sz val="11"/>
        <color theme="1"/>
        <rFont val="Calibri"/>
        <family val="2"/>
        <charset val="1"/>
      </rPr>
      <t xml:space="preserve">6</t>
    </r>
    <r>
      <rPr>
        <sz val="11"/>
        <color theme="1"/>
        <rFont val="WenQuanYi Zen Hei"/>
        <family val="2"/>
      </rPr>
      <t xml:space="preserve">の赤矢印の前提関係による。年は図の位置から読み取ったもので、月の記載はありません）。</t>
    </r>
  </si>
  <si>
    <t xml:space="preserve">10-10</t>
  </si>
  <si>
    <t xml:space="preserve">急速充電制御の実証は何年から何年まで行われますか？</t>
  </si>
  <si>
    <r>
      <rPr>
        <sz val="10"/>
        <rFont val="Meiryo UI"/>
        <family val="0"/>
        <charset val="1"/>
      </rPr>
      <t xml:space="preserve">2028</t>
    </r>
    <r>
      <rPr>
        <sz val="10"/>
        <rFont val="WenQuanYi Zen Hei"/>
        <family val="2"/>
      </rPr>
      <t xml:space="preserve">年〜</t>
    </r>
    <r>
      <rPr>
        <sz val="10"/>
        <rFont val="Meiryo UI"/>
        <family val="0"/>
        <charset val="1"/>
      </rPr>
      <t xml:space="preserve">2029</t>
    </r>
    <r>
      <rPr>
        <sz val="10"/>
        <rFont val="WenQuanYi Zen Hei"/>
        <family val="2"/>
      </rPr>
      <t xml:space="preserve">年</t>
    </r>
  </si>
  <si>
    <r>
      <rPr>
        <sz val="10"/>
        <rFont val="WenQuanYi Zen Hei"/>
        <family val="2"/>
      </rPr>
      <t xml:space="preserve">【位置（タイムライン）】</t>
    </r>
    <r>
      <rPr>
        <sz val="10"/>
        <rFont val="Noto Sans CJK SC"/>
        <family val="2"/>
        <charset val="1"/>
      </rPr>
      <t xml:space="preserve">P6 </t>
    </r>
    <r>
      <rPr>
        <sz val="10"/>
        <rFont val="WenQuanYi Zen Hei"/>
        <family val="2"/>
      </rPr>
      <t xml:space="preserve">バーの位置</t>
    </r>
  </si>
  <si>
    <r>
      <rPr>
        <sz val="11"/>
        <color theme="1"/>
        <rFont val="WenQuanYi Zen Hei"/>
        <family val="2"/>
      </rPr>
      <t xml:space="preserve">急速充電制御の実証は、</t>
    </r>
    <r>
      <rPr>
        <sz val="11"/>
        <color theme="1"/>
        <rFont val="Calibri"/>
        <family val="2"/>
        <charset val="1"/>
      </rPr>
      <t xml:space="preserve">2028</t>
    </r>
    <r>
      <rPr>
        <sz val="11"/>
        <color theme="1"/>
        <rFont val="WenQuanYi Zen Hei"/>
        <family val="2"/>
      </rPr>
      <t xml:space="preserve">年から</t>
    </r>
    <r>
      <rPr>
        <sz val="11"/>
        <color theme="1"/>
        <rFont val="Calibri"/>
        <family val="2"/>
        <charset val="1"/>
      </rPr>
      <t xml:space="preserve">2029</t>
    </r>
    <r>
      <rPr>
        <sz val="11"/>
        <color theme="1"/>
        <rFont val="WenQuanYi Zen Hei"/>
        <family val="2"/>
      </rPr>
      <t xml:space="preserve">年まで行われます（スライド</t>
    </r>
    <r>
      <rPr>
        <sz val="11"/>
        <color theme="1"/>
        <rFont val="Calibri"/>
        <family val="2"/>
        <charset val="1"/>
      </rPr>
      <t xml:space="preserve">6</t>
    </r>
    <r>
      <rPr>
        <sz val="11"/>
        <color theme="1"/>
        <rFont val="WenQuanYi Zen Hei"/>
        <family val="2"/>
      </rPr>
      <t xml:space="preserve">「開発ロードマップ」の制御レーン）。なお、この期間は図中の位置から年単位で読み取ったもので、月の記載はありません。実証の後、</t>
    </r>
    <r>
      <rPr>
        <sz val="11"/>
        <color theme="1"/>
        <rFont val="Calibri"/>
        <family val="2"/>
        <charset val="1"/>
      </rPr>
      <t xml:space="preserve">2030</t>
    </r>
    <r>
      <rPr>
        <sz val="11"/>
        <color theme="1"/>
        <rFont val="WenQuanYi Zen Hei"/>
        <family val="2"/>
      </rPr>
      <t xml:space="preserve">年に製品搭載が予定されています。</t>
    </r>
  </si>
  <si>
    <t xml:space="preserve">10-11</t>
  </si>
  <si>
    <t xml:space="preserve">交渉中（未契約）の提携先と、その内容を答えてください。</t>
  </si>
  <si>
    <r>
      <rPr>
        <sz val="10"/>
        <rFont val="WenQuanYi Zen Hei"/>
        <family val="2"/>
      </rPr>
      <t xml:space="preserve">ミライ自動車、技術ライセンス（</t>
    </r>
    <r>
      <rPr>
        <sz val="10"/>
        <rFont val="Noto Sans CJK SC"/>
        <family val="2"/>
        <charset val="1"/>
      </rPr>
      <t xml:space="preserve">2027</t>
    </r>
    <r>
      <rPr>
        <sz val="10"/>
        <rFont val="WenQuanYi Zen Hei"/>
        <family val="2"/>
      </rPr>
      <t xml:space="preserve">年度の契約を目指す）</t>
    </r>
  </si>
  <si>
    <r>
      <rPr>
        <sz val="10"/>
        <rFont val="WenQuanYi Zen Hei"/>
        <family val="2"/>
      </rPr>
      <t xml:space="preserve">【図解（線種）】</t>
    </r>
    <r>
      <rPr>
        <sz val="10"/>
        <rFont val="Noto Sans CJK SC"/>
        <family val="2"/>
        <charset val="1"/>
      </rPr>
      <t xml:space="preserve">P7 </t>
    </r>
    <r>
      <rPr>
        <sz val="10"/>
        <rFont val="WenQuanYi Zen Hei"/>
        <family val="2"/>
      </rPr>
      <t xml:space="preserve">破線＋凡例</t>
    </r>
  </si>
  <si>
    <r>
      <rPr>
        <sz val="10"/>
        <rFont val="WenQuanYi Zen Hei"/>
        <family val="2"/>
      </rPr>
      <t xml:space="preserve">ミライ自動車、技術ライセンス（</t>
    </r>
    <r>
      <rPr>
        <sz val="10"/>
        <rFont val="Meiryo UI"/>
        <family val="0"/>
        <charset val="1"/>
      </rPr>
      <t xml:space="preserve">2027</t>
    </r>
    <r>
      <rPr>
        <sz val="10"/>
        <rFont val="WenQuanYi Zen Hei"/>
        <family val="2"/>
      </rPr>
      <t xml:space="preserve">年度の契約を目指す）</t>
    </r>
  </si>
  <si>
    <r>
      <rPr>
        <sz val="11"/>
        <color theme="1"/>
        <rFont val="WenQuanYi Zen Hei"/>
        <family val="2"/>
      </rPr>
      <t xml:space="preserve">交渉中（未契約）の提携先は「ミライ自動車」です。
</t>
    </r>
    <r>
      <rPr>
        <sz val="11"/>
        <color theme="1"/>
        <rFont val="Calibri"/>
        <family val="2"/>
        <charset val="1"/>
      </rPr>
      <t xml:space="preserve">- </t>
    </r>
    <r>
      <rPr>
        <sz val="11"/>
        <color theme="1"/>
        <rFont val="WenQuanYi Zen Hei"/>
        <family val="2"/>
      </rPr>
      <t xml:space="preserve">内容：技術ライセンス（当社 → ミライ自動車への技術供与。量産後に自動車メーカーへ技術供与する位置づけ）
</t>
    </r>
    <r>
      <rPr>
        <sz val="11"/>
        <color theme="1"/>
        <rFont val="Calibri"/>
        <family val="2"/>
        <charset val="1"/>
      </rPr>
      <t xml:space="preserve">- </t>
    </r>
    <r>
      <rPr>
        <sz val="11"/>
        <color theme="1"/>
        <rFont val="WenQuanYi Zen Hei"/>
        <family val="2"/>
      </rPr>
      <t xml:space="preserve">契約状況：交渉中（提携関係図では破線で表示）。</t>
    </r>
    <r>
      <rPr>
        <sz val="11"/>
        <color theme="1"/>
        <rFont val="Calibri"/>
        <family val="2"/>
        <charset val="1"/>
      </rPr>
      <t xml:space="preserve">2027</t>
    </r>
    <r>
      <rPr>
        <sz val="11"/>
        <color theme="1"/>
        <rFont val="WenQuanYi Zen Hei"/>
        <family val="2"/>
      </rPr>
      <t xml:space="preserve">年度の契約を目指している。
（出典：スライド</t>
    </r>
    <r>
      <rPr>
        <sz val="11"/>
        <color theme="1"/>
        <rFont val="Calibri"/>
        <family val="2"/>
        <charset val="1"/>
      </rPr>
      <t xml:space="preserve">7</t>
    </r>
    <r>
      <rPr>
        <sz val="11"/>
        <color theme="1"/>
        <rFont val="WenQuanYi Zen Hei"/>
        <family val="2"/>
      </rPr>
      <t xml:space="preserve">「共同研究・提携体制」）</t>
    </r>
  </si>
  <si>
    <t xml:space="preserve">10-12</t>
  </si>
  <si>
    <t xml:space="preserve">光陽マテリアルと当社の関係は何で、どちらがどちらに提供しますか？</t>
  </si>
  <si>
    <t xml:space="preserve">材料供給。光陽マテリアル→当社</t>
  </si>
  <si>
    <r>
      <rPr>
        <sz val="10"/>
        <rFont val="WenQuanYi Zen Hei"/>
        <family val="2"/>
      </rPr>
      <t xml:space="preserve">【図解（矢印の向き）】</t>
    </r>
    <r>
      <rPr>
        <sz val="10"/>
        <rFont val="Noto Sans CJK SC"/>
        <family val="2"/>
        <charset val="1"/>
      </rPr>
      <t xml:space="preserve">P7 </t>
    </r>
    <r>
      <rPr>
        <sz val="10"/>
        <rFont val="WenQuanYi Zen Hei"/>
        <family val="2"/>
      </rPr>
      <t xml:space="preserve">矢印の向き＋凡例</t>
    </r>
  </si>
  <si>
    <t xml:space="preserve">材料供給、光陽マテリアル→当社</t>
  </si>
  <si>
    <t xml:space="preserve">光陽マテリアルと当社の関係は「材料供給」です（契約済み）。
提供する側は光陽マテリアルで、当社（技術開発本部）が受ける側です。つまり、光陽マテリアルが当社に材料を供給します（光陽マテリアル → 当社）。</t>
  </si>
  <si>
    <t xml:space="preserve">10-13</t>
  </si>
  <si>
    <t xml:space="preserve">断面図で最も上に描かれている層は何ですか？</t>
  </si>
  <si>
    <t xml:space="preserve">正極集電体（アルミ箔）</t>
  </si>
  <si>
    <r>
      <rPr>
        <sz val="10"/>
        <rFont val="WenQuanYi Zen Hei"/>
        <family val="2"/>
      </rPr>
      <t xml:space="preserve">【</t>
    </r>
    <r>
      <rPr>
        <sz val="10"/>
        <rFont val="Noto Sans CJK SC"/>
        <family val="2"/>
        <charset val="1"/>
      </rPr>
      <t xml:space="preserve">SVG</t>
    </r>
    <r>
      <rPr>
        <sz val="10"/>
        <rFont val="WenQuanYi Zen Hei"/>
        <family val="2"/>
      </rPr>
      <t xml:space="preserve">画像＋表】</t>
    </r>
    <r>
      <rPr>
        <sz val="10"/>
        <rFont val="Noto Sans CJK SC"/>
        <family val="2"/>
        <charset val="1"/>
      </rPr>
      <t xml:space="preserve">P8 SVG</t>
    </r>
    <r>
      <rPr>
        <sz val="10"/>
        <rFont val="WenQuanYi Zen Hei"/>
        <family val="2"/>
      </rPr>
      <t xml:space="preserve">画像の番号①と表の対応</t>
    </r>
  </si>
  <si>
    <r>
      <rPr>
        <sz val="11"/>
        <color theme="1"/>
        <rFont val="WenQuanYi Zen Hei"/>
        <family val="2"/>
      </rPr>
      <t xml:space="preserve">スライド</t>
    </r>
    <r>
      <rPr>
        <sz val="11"/>
        <color theme="1"/>
        <rFont val="Calibri"/>
        <family val="2"/>
        <charset val="1"/>
      </rPr>
      <t xml:space="preserve">8</t>
    </r>
    <r>
      <rPr>
        <sz val="11"/>
        <color theme="1"/>
        <rFont val="WenQuanYi Zen Hei"/>
        <family val="2"/>
      </rPr>
      <t xml:space="preserve">の断面図で最も上に描かれている層は、①正極集電体（アルミ箔）です（厚み</t>
    </r>
    <r>
      <rPr>
        <sz val="11"/>
        <color theme="1"/>
        <rFont val="Calibri"/>
        <family val="2"/>
        <charset val="1"/>
      </rPr>
      <t xml:space="preserve">15μm</t>
    </r>
    <r>
      <rPr>
        <sz val="11"/>
        <color theme="1"/>
        <rFont val="WenQuanYi Zen Hei"/>
        <family val="2"/>
      </rPr>
      <t xml:space="preserve">、図では灰色の薄い層）。</t>
    </r>
  </si>
  <si>
    <t xml:space="preserve">10-14</t>
  </si>
  <si>
    <t xml:space="preserve">固体電解質層の上下に接している層を答えてください。</t>
  </si>
  <si>
    <t xml:space="preserve">上：正極、下：負極</t>
  </si>
  <si>
    <r>
      <rPr>
        <sz val="10"/>
        <rFont val="WenQuanYi Zen Hei"/>
        <family val="2"/>
      </rPr>
      <t xml:space="preserve">【</t>
    </r>
    <r>
      <rPr>
        <sz val="10"/>
        <rFont val="Noto Sans CJK SC"/>
        <family val="2"/>
        <charset val="1"/>
      </rPr>
      <t xml:space="preserve">SVG</t>
    </r>
    <r>
      <rPr>
        <sz val="10"/>
        <rFont val="WenQuanYi Zen Hei"/>
        <family val="2"/>
      </rPr>
      <t xml:space="preserve">画像＋表】</t>
    </r>
    <r>
      <rPr>
        <sz val="10"/>
        <rFont val="Noto Sans CJK SC"/>
        <family val="2"/>
        <charset val="1"/>
      </rPr>
      <t xml:space="preserve">P8 </t>
    </r>
    <r>
      <rPr>
        <sz val="10"/>
        <rFont val="WenQuanYi Zen Hei"/>
        <family val="2"/>
      </rPr>
      <t xml:space="preserve">画像の層の順序（①〜⑤）</t>
    </r>
  </si>
  <si>
    <r>
      <rPr>
        <sz val="11"/>
        <color theme="1"/>
        <rFont val="WenQuanYi Zen Hei"/>
        <family val="2"/>
      </rPr>
      <t xml:space="preserve">固体電解質層（③、厚み</t>
    </r>
    <r>
      <rPr>
        <sz val="11"/>
        <color theme="1"/>
        <rFont val="Calibri"/>
        <family val="2"/>
        <charset val="1"/>
      </rPr>
      <t xml:space="preserve">12μm</t>
    </r>
    <r>
      <rPr>
        <sz val="11"/>
        <color theme="1"/>
        <rFont val="WenQuanYi Zen Hei"/>
        <family val="2"/>
      </rPr>
      <t xml:space="preserve">）の上下に接している層は次のとおりです（スライド</t>
    </r>
    <r>
      <rPr>
        <sz val="11"/>
        <color theme="1"/>
        <rFont val="Calibri"/>
        <family val="2"/>
        <charset val="1"/>
      </rPr>
      <t xml:space="preserve">8</t>
    </r>
    <r>
      <rPr>
        <sz val="11"/>
        <color theme="1"/>
        <rFont val="WenQuanYi Zen Hei"/>
        <family val="2"/>
      </rPr>
      <t xml:space="preserve">「第</t>
    </r>
    <r>
      <rPr>
        <sz val="11"/>
        <color theme="1"/>
        <rFont val="Calibri"/>
        <family val="2"/>
        <charset val="1"/>
      </rPr>
      <t xml:space="preserve">3</t>
    </r>
    <r>
      <rPr>
        <sz val="11"/>
        <color theme="1"/>
        <rFont val="WenQuanYi Zen Hei"/>
        <family val="2"/>
      </rPr>
      <t xml:space="preserve">世代セルの断面構造」より）。
</t>
    </r>
    <r>
      <rPr>
        <sz val="11"/>
        <color theme="1"/>
        <rFont val="Calibri"/>
        <family val="2"/>
        <charset val="1"/>
      </rPr>
      <t xml:space="preserve">- </t>
    </r>
    <r>
      <rPr>
        <sz val="11"/>
        <color theme="1"/>
        <rFont val="WenQuanYi Zen Hei"/>
        <family val="2"/>
      </rPr>
      <t xml:space="preserve">上側：②正極（</t>
    </r>
    <r>
      <rPr>
        <sz val="11"/>
        <color theme="1"/>
        <rFont val="Calibri"/>
        <family val="2"/>
        <charset val="1"/>
      </rPr>
      <t xml:space="preserve">85μm</t>
    </r>
    <r>
      <rPr>
        <sz val="11"/>
        <color theme="1"/>
        <rFont val="WenQuanYi Zen Hei"/>
        <family val="2"/>
      </rPr>
      <t xml:space="preserve">）
</t>
    </r>
    <r>
      <rPr>
        <sz val="11"/>
        <color theme="1"/>
        <rFont val="Calibri"/>
        <family val="2"/>
        <charset val="1"/>
      </rPr>
      <t xml:space="preserve">- </t>
    </r>
    <r>
      <rPr>
        <sz val="11"/>
        <color theme="1"/>
        <rFont val="WenQuanYi Zen Hei"/>
        <family val="2"/>
      </rPr>
      <t xml:space="preserve">下側：④負極（</t>
    </r>
    <r>
      <rPr>
        <sz val="11"/>
        <color theme="1"/>
        <rFont val="Calibri"/>
        <family val="2"/>
        <charset val="1"/>
      </rPr>
      <t xml:space="preserve">70μm</t>
    </r>
    <r>
      <rPr>
        <sz val="11"/>
        <color theme="1"/>
        <rFont val="WenQuanYi Zen Hei"/>
        <family val="2"/>
      </rPr>
      <t xml:space="preserve">）
つまり、固体電解質層は正極と負極に挟まれています。</t>
    </r>
  </si>
  <si>
    <t xml:space="preserve">10-15</t>
  </si>
  <si>
    <t xml:space="preserve">海外への特許出願は合計何件ですか？</t>
  </si>
  <si>
    <r>
      <rPr>
        <sz val="10"/>
        <rFont val="Meiryo UI"/>
        <family val="0"/>
        <charset val="1"/>
      </rPr>
      <t xml:space="preserve">4</t>
    </r>
    <r>
      <rPr>
        <sz val="10"/>
        <rFont val="WenQuanYi Zen Hei"/>
        <family val="2"/>
      </rPr>
      <t xml:space="preserve">件</t>
    </r>
  </si>
  <si>
    <r>
      <rPr>
        <sz val="10"/>
        <rFont val="WenQuanYi Zen Hei"/>
        <family val="2"/>
      </rPr>
      <t xml:space="preserve">【結合セル】</t>
    </r>
    <r>
      <rPr>
        <sz val="10"/>
        <rFont val="Noto Sans CJK SC"/>
        <family val="2"/>
        <charset val="1"/>
      </rPr>
      <t xml:space="preserve">P9 2</t>
    </r>
    <r>
      <rPr>
        <sz val="10"/>
        <rFont val="WenQuanYi Zen Hei"/>
        <family val="2"/>
      </rPr>
      <t xml:space="preserve">段見出しの表</t>
    </r>
  </si>
  <si>
    <r>
      <rPr>
        <sz val="11"/>
        <color theme="1"/>
        <rFont val="WenQuanYi Zen Hei"/>
        <family val="2"/>
      </rPr>
      <t xml:space="preserve">海外への特許出願は合計</t>
    </r>
    <r>
      <rPr>
        <sz val="11"/>
        <color theme="1"/>
        <rFont val="Calibri"/>
        <family val="2"/>
        <charset val="1"/>
      </rPr>
      <t xml:space="preserve">4</t>
    </r>
    <r>
      <rPr>
        <sz val="11"/>
        <color theme="1"/>
        <rFont val="WenQuanYi Zen Hei"/>
        <family val="2"/>
      </rPr>
      <t xml:space="preserve">件です（固体電解質</t>
    </r>
    <r>
      <rPr>
        <sz val="11"/>
        <color theme="1"/>
        <rFont val="Calibri"/>
        <family val="2"/>
        <charset val="1"/>
      </rPr>
      <t xml:space="preserve">2</t>
    </r>
    <r>
      <rPr>
        <sz val="11"/>
        <color theme="1"/>
        <rFont val="WenQuanYi Zen Hei"/>
        <family val="2"/>
      </rPr>
      <t xml:space="preserve">件、高ニッケル正極</t>
    </r>
    <r>
      <rPr>
        <sz val="11"/>
        <color theme="1"/>
        <rFont val="Calibri"/>
        <family val="2"/>
        <charset val="1"/>
      </rPr>
      <t xml:space="preserve">1</t>
    </r>
    <r>
      <rPr>
        <sz val="11"/>
        <color theme="1"/>
        <rFont val="WenQuanYi Zen Hei"/>
        <family val="2"/>
      </rPr>
      <t xml:space="preserve">件、シリコン系負極</t>
    </r>
    <r>
      <rPr>
        <sz val="11"/>
        <color theme="1"/>
        <rFont val="Calibri"/>
        <family val="2"/>
        <charset val="1"/>
      </rPr>
      <t xml:space="preserve">0</t>
    </r>
    <r>
      <rPr>
        <sz val="11"/>
        <color theme="1"/>
        <rFont val="WenQuanYi Zen Hei"/>
        <family val="2"/>
      </rPr>
      <t xml:space="preserve">件、急速充電制御</t>
    </r>
    <r>
      <rPr>
        <sz val="11"/>
        <color theme="1"/>
        <rFont val="Calibri"/>
        <family val="2"/>
        <charset val="1"/>
      </rPr>
      <t xml:space="preserve">1</t>
    </r>
    <r>
      <rPr>
        <sz val="11"/>
        <color theme="1"/>
        <rFont val="WenQuanYi Zen Hei"/>
        <family val="2"/>
      </rPr>
      <t xml:space="preserve">件。</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10</t>
    </r>
    <r>
      <rPr>
        <sz val="11"/>
        <color theme="1"/>
        <rFont val="WenQuanYi Zen Hei"/>
        <family val="2"/>
      </rPr>
      <t xml:space="preserve">月末時点）。なお、このうち</t>
    </r>
    <r>
      <rPr>
        <sz val="11"/>
        <color theme="1"/>
        <rFont val="Calibri"/>
        <family val="2"/>
        <charset val="1"/>
      </rPr>
      <t xml:space="preserve">2</t>
    </r>
    <r>
      <rPr>
        <sz val="11"/>
        <color theme="1"/>
        <rFont val="WenQuanYi Zen Hei"/>
        <family val="2"/>
      </rPr>
      <t xml:space="preserve">件は審査請求前です。</t>
    </r>
  </si>
  <si>
    <t xml:space="preserve">10-16</t>
  </si>
  <si>
    <t xml:space="preserve">海外出願のうち、審査請求前のものは何件ですか？</t>
  </si>
  <si>
    <r>
      <rPr>
        <sz val="10"/>
        <rFont val="Meiryo UI"/>
        <family val="0"/>
        <charset val="1"/>
      </rPr>
      <t xml:space="preserve">2</t>
    </r>
    <r>
      <rPr>
        <sz val="10"/>
        <rFont val="WenQuanYi Zen Hei"/>
        <family val="2"/>
      </rPr>
      <t xml:space="preserve">件</t>
    </r>
  </si>
  <si>
    <r>
      <rPr>
        <sz val="10"/>
        <rFont val="WenQuanYi Zen Hei"/>
        <family val="2"/>
      </rPr>
      <t xml:space="preserve">【脚注】</t>
    </r>
    <r>
      <rPr>
        <sz val="10"/>
        <rFont val="Noto Sans CJK SC"/>
        <family val="2"/>
        <charset val="1"/>
      </rPr>
      <t xml:space="preserve">P9 </t>
    </r>
    <r>
      <rPr>
        <sz val="10"/>
        <rFont val="WenQuanYi Zen Hei"/>
        <family val="2"/>
      </rPr>
      <t xml:space="preserve">脚注※</t>
    </r>
    <r>
      <rPr>
        <sz val="10"/>
        <rFont val="Noto Sans CJK SC"/>
        <family val="2"/>
        <charset val="1"/>
      </rPr>
      <t xml:space="preserve">2</t>
    </r>
  </si>
  <si>
    <r>
      <rPr>
        <sz val="11"/>
        <color theme="1"/>
        <rFont val="WenQuanYi Zen Hei"/>
        <family val="2"/>
      </rPr>
      <t xml:space="preserve">海外出願（合計</t>
    </r>
    <r>
      <rPr>
        <sz val="11"/>
        <color theme="1"/>
        <rFont val="Calibri"/>
        <family val="2"/>
        <charset val="1"/>
      </rPr>
      <t xml:space="preserve">4</t>
    </r>
    <r>
      <rPr>
        <sz val="11"/>
        <color theme="1"/>
        <rFont val="WenQuanYi Zen Hei"/>
        <family val="2"/>
      </rPr>
      <t xml:space="preserve">件）のうち、審査請求前のものは</t>
    </r>
    <r>
      <rPr>
        <sz val="11"/>
        <color theme="1"/>
        <rFont val="Calibri"/>
        <family val="2"/>
        <charset val="1"/>
      </rPr>
      <t xml:space="preserve">**2</t>
    </r>
    <r>
      <rPr>
        <sz val="11"/>
        <color theme="1"/>
        <rFont val="WenQuanYi Zen Hei"/>
        <family val="2"/>
      </rPr>
      <t xml:space="preserve">件</t>
    </r>
    <r>
      <rPr>
        <sz val="11"/>
        <color theme="1"/>
        <rFont val="Calibri"/>
        <family val="2"/>
        <charset val="1"/>
      </rPr>
      <t xml:space="preserve">**</t>
    </r>
    <r>
      <rPr>
        <sz val="11"/>
        <color theme="1"/>
        <rFont val="WenQuanYi Zen Hei"/>
        <family val="2"/>
      </rPr>
      <t xml:space="preserve">です（スライド</t>
    </r>
    <r>
      <rPr>
        <sz val="11"/>
        <color theme="1"/>
        <rFont val="Calibri"/>
        <family val="2"/>
        <charset val="1"/>
      </rPr>
      <t xml:space="preserve">9</t>
    </r>
    <r>
      <rPr>
        <sz val="11"/>
        <color theme="1"/>
        <rFont val="WenQuanYi Zen Hei"/>
        <family val="2"/>
      </rPr>
      <t xml:space="preserve">の注記「※</t>
    </r>
    <r>
      <rPr>
        <sz val="11"/>
        <color theme="1"/>
        <rFont val="Calibri"/>
        <family val="2"/>
        <charset val="1"/>
      </rPr>
      <t xml:space="preserve">2 </t>
    </r>
    <r>
      <rPr>
        <sz val="11"/>
        <color theme="1"/>
        <rFont val="WenQuanYi Zen Hei"/>
        <family val="2"/>
      </rPr>
      <t xml:space="preserve">海外出願のうち</t>
    </r>
    <r>
      <rPr>
        <sz val="11"/>
        <color theme="1"/>
        <rFont val="Calibri"/>
        <family val="2"/>
        <charset val="1"/>
      </rPr>
      <t xml:space="preserve">2</t>
    </r>
    <r>
      <rPr>
        <sz val="11"/>
        <color theme="1"/>
        <rFont val="WenQuanYi Zen Hei"/>
        <family val="2"/>
      </rPr>
      <t xml:space="preserve">件は審査請求前」より。件数は</t>
    </r>
    <r>
      <rPr>
        <sz val="11"/>
        <color theme="1"/>
        <rFont val="Calibri"/>
        <family val="2"/>
        <charset val="1"/>
      </rPr>
      <t xml:space="preserve">2026</t>
    </r>
    <r>
      <rPr>
        <sz val="11"/>
        <color theme="1"/>
        <rFont val="WenQuanYi Zen Hei"/>
        <family val="2"/>
      </rPr>
      <t xml:space="preserve">年</t>
    </r>
    <r>
      <rPr>
        <sz val="11"/>
        <color theme="1"/>
        <rFont val="Calibri"/>
        <family val="2"/>
        <charset val="1"/>
      </rPr>
      <t xml:space="preserve">10</t>
    </r>
    <r>
      <rPr>
        <sz val="11"/>
        <color theme="1"/>
        <rFont val="WenQuanYi Zen Hei"/>
        <family val="2"/>
      </rPr>
      <t xml:space="preserve">月末時点）。</t>
    </r>
  </si>
  <si>
    <t xml:space="preserve">10-17</t>
  </si>
  <si>
    <r>
      <rPr>
        <sz val="10"/>
        <rFont val="Meiryo UI"/>
        <family val="0"/>
        <charset val="1"/>
      </rPr>
      <t xml:space="preserve">2029</t>
    </r>
    <r>
      <rPr>
        <sz val="10"/>
        <rFont val="WenQuanYi Zen Hei"/>
        <family val="2"/>
      </rPr>
      <t xml:space="preserve">年度の開発予算の総額はいくらですか？</t>
    </r>
  </si>
  <si>
    <r>
      <rPr>
        <sz val="10"/>
        <rFont val="Meiryo UI"/>
        <family val="0"/>
        <charset val="1"/>
      </rPr>
      <t xml:space="preserve">23</t>
    </r>
    <r>
      <rPr>
        <sz val="10"/>
        <rFont val="WenQuanYi Zen Hei"/>
        <family val="2"/>
      </rPr>
      <t xml:space="preserve">億円（人件費</t>
    </r>
    <r>
      <rPr>
        <sz val="10"/>
        <rFont val="Meiryo UI"/>
        <family val="0"/>
        <charset val="1"/>
      </rPr>
      <t xml:space="preserve">8</t>
    </r>
    <r>
      <rPr>
        <sz val="10"/>
        <rFont val="WenQuanYi Zen Hei"/>
        <family val="2"/>
      </rPr>
      <t xml:space="preserve">＋設備投資</t>
    </r>
    <r>
      <rPr>
        <sz val="10"/>
        <rFont val="Meiryo UI"/>
        <family val="0"/>
        <charset val="1"/>
      </rPr>
      <t xml:space="preserve">12</t>
    </r>
    <r>
      <rPr>
        <sz val="10"/>
        <rFont val="WenQuanYi Zen Hei"/>
        <family val="2"/>
      </rPr>
      <t xml:space="preserve">＋外部委託</t>
    </r>
    <r>
      <rPr>
        <sz val="10"/>
        <rFont val="Meiryo UI"/>
        <family val="0"/>
        <charset val="1"/>
      </rPr>
      <t xml:space="preserve">3</t>
    </r>
    <r>
      <rPr>
        <sz val="10"/>
        <rFont val="WenQuanYi Zen Hei"/>
        <family val="2"/>
      </rPr>
      <t xml:space="preserve">）</t>
    </r>
  </si>
  <si>
    <r>
      <rPr>
        <sz val="10"/>
        <rFont val="WenQuanYi Zen Hei"/>
        <family val="2"/>
      </rPr>
      <t xml:space="preserve">【積み上げグラフ】</t>
    </r>
    <r>
      <rPr>
        <sz val="10"/>
        <rFont val="Noto Sans CJK SC"/>
        <family val="2"/>
        <charset val="1"/>
      </rPr>
      <t xml:space="preserve">P10 </t>
    </r>
    <r>
      <rPr>
        <sz val="10"/>
        <rFont val="WenQuanYi Zen Hei"/>
        <family val="2"/>
      </rPr>
      <t xml:space="preserve">積み上げ縦棒（数値ラベルなし）</t>
    </r>
  </si>
  <si>
    <r>
      <rPr>
        <sz val="10"/>
        <rFont val="Meiryo UI"/>
        <family val="0"/>
        <charset val="1"/>
      </rPr>
      <t xml:space="preserve">23</t>
    </r>
    <r>
      <rPr>
        <sz val="10"/>
        <rFont val="WenQuanYi Zen Hei"/>
        <family val="2"/>
      </rPr>
      <t xml:space="preserve">億円（</t>
    </r>
    <r>
      <rPr>
        <sz val="10"/>
        <rFont val="Meiryo UI"/>
        <family val="0"/>
        <charset val="1"/>
      </rPr>
      <t xml:space="preserve">8</t>
    </r>
    <r>
      <rPr>
        <sz val="10"/>
        <rFont val="WenQuanYi Zen Hei"/>
        <family val="2"/>
      </rPr>
      <t xml:space="preserve">＋</t>
    </r>
    <r>
      <rPr>
        <sz val="10"/>
        <rFont val="Meiryo UI"/>
        <family val="0"/>
        <charset val="1"/>
      </rPr>
      <t xml:space="preserve">12</t>
    </r>
    <r>
      <rPr>
        <sz val="10"/>
        <rFont val="WenQuanYi Zen Hei"/>
        <family val="2"/>
      </rPr>
      <t xml:space="preserve">＋</t>
    </r>
    <r>
      <rPr>
        <sz val="10"/>
        <rFont val="Meiryo UI"/>
        <family val="0"/>
        <charset val="1"/>
      </rPr>
      <t xml:space="preserve">3</t>
    </r>
    <r>
      <rPr>
        <sz val="10"/>
        <rFont val="WenQuanYi Zen Hei"/>
        <family val="2"/>
      </rPr>
      <t xml:space="preserve">）</t>
    </r>
  </si>
  <si>
    <r>
      <rPr>
        <sz val="11"/>
        <color theme="1"/>
        <rFont val="Calibri"/>
        <family val="2"/>
        <charset val="1"/>
      </rPr>
      <t xml:space="preserve">2029</t>
    </r>
    <r>
      <rPr>
        <sz val="11"/>
        <color theme="1"/>
        <rFont val="WenQuanYi Zen Hei"/>
        <family val="2"/>
      </rPr>
      <t xml:space="preserve">年度の開発予算の総額は</t>
    </r>
    <r>
      <rPr>
        <sz val="11"/>
        <color theme="1"/>
        <rFont val="Calibri"/>
        <family val="2"/>
        <charset val="1"/>
      </rPr>
      <t xml:space="preserve">23</t>
    </r>
    <r>
      <rPr>
        <sz val="11"/>
        <color theme="1"/>
        <rFont val="WenQuanYi Zen Hei"/>
        <family val="2"/>
      </rPr>
      <t xml:space="preserve">億円です（内訳：人件費</t>
    </r>
    <r>
      <rPr>
        <sz val="11"/>
        <color theme="1"/>
        <rFont val="Calibri"/>
        <family val="2"/>
        <charset val="1"/>
      </rPr>
      <t xml:space="preserve">8</t>
    </r>
    <r>
      <rPr>
        <sz val="11"/>
        <color theme="1"/>
        <rFont val="WenQuanYi Zen Hei"/>
        <family val="2"/>
      </rPr>
      <t xml:space="preserve">億円、設備投資</t>
    </r>
    <r>
      <rPr>
        <sz val="11"/>
        <color theme="1"/>
        <rFont val="Calibri"/>
        <family val="2"/>
        <charset val="1"/>
      </rPr>
      <t xml:space="preserve">12</t>
    </r>
    <r>
      <rPr>
        <sz val="11"/>
        <color theme="1"/>
        <rFont val="WenQuanYi Zen Hei"/>
        <family val="2"/>
      </rPr>
      <t xml:space="preserve">億円、外部委託</t>
    </r>
    <r>
      <rPr>
        <sz val="11"/>
        <color theme="1"/>
        <rFont val="Calibri"/>
        <family val="2"/>
        <charset val="1"/>
      </rPr>
      <t xml:space="preserve">3</t>
    </r>
    <r>
      <rPr>
        <sz val="11"/>
        <color theme="1"/>
        <rFont val="WenQuanYi Zen Hei"/>
        <family val="2"/>
      </rPr>
      <t xml:space="preserve">億円）。</t>
    </r>
    <r>
      <rPr>
        <sz val="11"/>
        <color theme="1"/>
        <rFont val="Calibri"/>
        <family val="2"/>
        <charset val="1"/>
      </rPr>
      <t xml:space="preserve">5</t>
    </r>
    <r>
      <rPr>
        <sz val="11"/>
        <color theme="1"/>
        <rFont val="WenQuanYi Zen Hei"/>
        <family val="2"/>
      </rPr>
      <t xml:space="preserve">年間で最も多い年度で、量産ライン投資が集中するためです。
なお、この合計値はグラフの値から算出したもので、スライドに記載された数値ではありません。また発表者ノートによると、</t>
    </r>
    <r>
      <rPr>
        <sz val="11"/>
        <color theme="1"/>
        <rFont val="Calibri"/>
        <family val="2"/>
        <charset val="1"/>
      </rPr>
      <t xml:space="preserve">2029</t>
    </r>
    <r>
      <rPr>
        <sz val="11"/>
        <color theme="1"/>
        <rFont val="WenQuanYi Zen Hei"/>
        <family val="2"/>
      </rPr>
      <t xml:space="preserve">年度の予算は公的補助金（最大</t>
    </r>
    <r>
      <rPr>
        <sz val="11"/>
        <color theme="1"/>
        <rFont val="Calibri"/>
        <family val="2"/>
        <charset val="1"/>
      </rPr>
      <t xml:space="preserve">8</t>
    </r>
    <r>
      <rPr>
        <sz val="11"/>
        <color theme="1"/>
        <rFont val="WenQuanYi Zen Hei"/>
        <family val="2"/>
      </rPr>
      <t xml:space="preserve">億円）の採択を前提としており、不採択の場合は量産ライン投資が</t>
    </r>
    <r>
      <rPr>
        <sz val="11"/>
        <color theme="1"/>
        <rFont val="Calibri"/>
        <family val="2"/>
        <charset val="1"/>
      </rPr>
      <t xml:space="preserve">2030</t>
    </r>
    <r>
      <rPr>
        <sz val="11"/>
        <color theme="1"/>
        <rFont val="WenQuanYi Zen Hei"/>
        <family val="2"/>
      </rPr>
      <t xml:space="preserve">年度に繰り延べられるため、金額が変わる可能性があります。</t>
    </r>
  </si>
  <si>
    <t xml:space="preserve">10-18</t>
  </si>
  <si>
    <r>
      <rPr>
        <sz val="10"/>
        <rFont val="Meiryo UI"/>
        <family val="0"/>
        <charset val="1"/>
      </rPr>
      <t xml:space="preserve">2029</t>
    </r>
    <r>
      <rPr>
        <sz val="10"/>
        <rFont val="WenQuanYi Zen Hei"/>
        <family val="2"/>
      </rPr>
      <t xml:space="preserve">年度の予算は何を前提としていますか？前提が崩れた場合はどうしますか？</t>
    </r>
  </si>
  <si>
    <r>
      <rPr>
        <sz val="10"/>
        <rFont val="WenQuanYi Zen Hei"/>
        <family val="2"/>
      </rPr>
      <t xml:space="preserve">公的補助金（最大</t>
    </r>
    <r>
      <rPr>
        <sz val="10"/>
        <rFont val="Noto Sans CJK SC"/>
        <family val="2"/>
        <charset val="1"/>
      </rPr>
      <t xml:space="preserve">8</t>
    </r>
    <r>
      <rPr>
        <sz val="10"/>
        <rFont val="WenQuanYi Zen Hei"/>
        <family val="2"/>
      </rPr>
      <t xml:space="preserve">億円）の採択が前提。不採択なら量産ライン投資を</t>
    </r>
    <r>
      <rPr>
        <sz val="10"/>
        <rFont val="Noto Sans CJK SC"/>
        <family val="2"/>
        <charset val="1"/>
      </rPr>
      <t xml:space="preserve">2030</t>
    </r>
    <r>
      <rPr>
        <sz val="10"/>
        <rFont val="WenQuanYi Zen Hei"/>
        <family val="2"/>
      </rPr>
      <t xml:space="preserve">年度に繰り延べる</t>
    </r>
  </si>
  <si>
    <r>
      <rPr>
        <sz val="10"/>
        <rFont val="WenQuanYi Zen Hei"/>
        <family val="2"/>
      </rPr>
      <t xml:space="preserve">公的補助金（最大</t>
    </r>
    <r>
      <rPr>
        <sz val="10"/>
        <rFont val="Meiryo UI"/>
        <family val="0"/>
        <charset val="1"/>
      </rPr>
      <t xml:space="preserve">8</t>
    </r>
    <r>
      <rPr>
        <sz val="10"/>
        <rFont val="WenQuanYi Zen Hei"/>
        <family val="2"/>
      </rPr>
      <t xml:space="preserve">億円）の採択が前提。不採択なら量産ライン投資を</t>
    </r>
    <r>
      <rPr>
        <sz val="10"/>
        <rFont val="Meiryo UI"/>
        <family val="0"/>
        <charset val="1"/>
      </rPr>
      <t xml:space="preserve">2030</t>
    </r>
    <r>
      <rPr>
        <sz val="10"/>
        <rFont val="WenQuanYi Zen Hei"/>
        <family val="2"/>
      </rPr>
      <t xml:space="preserve">年度に繰り延べ</t>
    </r>
  </si>
  <si>
    <r>
      <rPr>
        <sz val="11"/>
        <color theme="1"/>
        <rFont val="Calibri"/>
        <family val="2"/>
        <charset val="1"/>
      </rPr>
      <t xml:space="preserve">2029</t>
    </r>
    <r>
      <rPr>
        <sz val="11"/>
        <color theme="1"/>
        <rFont val="WenQuanYi Zen Hei"/>
        <family val="2"/>
      </rPr>
      <t xml:space="preserve">年度の予算（</t>
    </r>
    <r>
      <rPr>
        <sz val="11"/>
        <color theme="1"/>
        <rFont val="Calibri"/>
        <family val="2"/>
        <charset val="1"/>
      </rPr>
      <t xml:space="preserve">23</t>
    </r>
    <r>
      <rPr>
        <sz val="11"/>
        <color theme="1"/>
        <rFont val="WenQuanYi Zen Hei"/>
        <family val="2"/>
      </rPr>
      <t xml:space="preserve">億円。量産ライン投資が集中する年度）は、公的補助金（最大</t>
    </r>
    <r>
      <rPr>
        <sz val="11"/>
        <color theme="1"/>
        <rFont val="Calibri"/>
        <family val="2"/>
        <charset val="1"/>
      </rPr>
      <t xml:space="preserve">8</t>
    </r>
    <r>
      <rPr>
        <sz val="11"/>
        <color theme="1"/>
        <rFont val="WenQuanYi Zen Hei"/>
        <family val="2"/>
      </rPr>
      <t xml:space="preserve">億円）の採択を前提としています（スライド</t>
    </r>
    <r>
      <rPr>
        <sz val="11"/>
        <color theme="1"/>
        <rFont val="Calibri"/>
        <family val="2"/>
        <charset val="1"/>
      </rPr>
      <t xml:space="preserve">10</t>
    </r>
    <r>
      <rPr>
        <sz val="11"/>
        <color theme="1"/>
        <rFont val="WenQuanYi Zen Hei"/>
        <family val="2"/>
      </rPr>
      <t xml:space="preserve">の発表者ノート）。
補助金が不採択となり前提が崩れた場合は、量産ライン投資を</t>
    </r>
    <r>
      <rPr>
        <sz val="11"/>
        <color theme="1"/>
        <rFont val="Calibri"/>
        <family val="2"/>
        <charset val="1"/>
      </rPr>
      <t xml:space="preserve">2030</t>
    </r>
    <r>
      <rPr>
        <sz val="11"/>
        <color theme="1"/>
        <rFont val="WenQuanYi Zen Hei"/>
        <family val="2"/>
      </rPr>
      <t xml:space="preserve">年度に繰り延べます。
なお、この前提はスライド本文には書かれておらず発表者ノートにのみ記載されたもので、補助金の採択結果によっては、</t>
    </r>
    <r>
      <rPr>
        <sz val="11"/>
        <color theme="1"/>
        <rFont val="Calibri"/>
        <family val="2"/>
        <charset val="1"/>
      </rPr>
      <t xml:space="preserve">2029</t>
    </r>
    <r>
      <rPr>
        <sz val="11"/>
        <color theme="1"/>
        <rFont val="WenQuanYi Zen Hei"/>
        <family val="2"/>
      </rPr>
      <t xml:space="preserve">年度の予算</t>
    </r>
    <r>
      <rPr>
        <sz val="11"/>
        <color theme="1"/>
        <rFont val="Calibri"/>
        <family val="2"/>
        <charset val="1"/>
      </rPr>
      <t xml:space="preserve">23</t>
    </r>
    <r>
      <rPr>
        <sz val="11"/>
        <color theme="1"/>
        <rFont val="WenQuanYi Zen Hei"/>
        <family val="2"/>
      </rPr>
      <t xml:space="preserve">億円や、スライド</t>
    </r>
    <r>
      <rPr>
        <sz val="11"/>
        <color theme="1"/>
        <rFont val="Calibri"/>
        <family val="2"/>
        <charset val="1"/>
      </rPr>
      <t xml:space="preserve">6</t>
    </r>
    <r>
      <rPr>
        <sz val="11"/>
        <color theme="1"/>
        <rFont val="WenQuanYi Zen Hei"/>
        <family val="2"/>
      </rPr>
      <t xml:space="preserve">のロードマップにおける量産ライン投資の時期（</t>
    </r>
    <r>
      <rPr>
        <sz val="11"/>
        <color theme="1"/>
        <rFont val="Calibri"/>
        <family val="2"/>
        <charset val="1"/>
      </rPr>
      <t xml:space="preserve">2029</t>
    </r>
    <r>
      <rPr>
        <sz val="11"/>
        <color theme="1"/>
        <rFont val="WenQuanYi Zen Hei"/>
        <family val="2"/>
      </rPr>
      <t xml:space="preserve">〜</t>
    </r>
    <r>
      <rPr>
        <sz val="11"/>
        <color theme="1"/>
        <rFont val="Calibri"/>
        <family val="2"/>
        <charset val="1"/>
      </rPr>
      <t xml:space="preserve">2030</t>
    </r>
    <r>
      <rPr>
        <sz val="11"/>
        <color theme="1"/>
        <rFont val="WenQuanYi Zen Hei"/>
        <family val="2"/>
      </rPr>
      <t xml:space="preserve">年）が変わる可能性があります。</t>
    </r>
  </si>
  <si>
    <t xml:space="preserve">10-19</t>
  </si>
  <si>
    <r>
      <rPr>
        <sz val="10"/>
        <rFont val="WenQuanYi Zen Hei"/>
        <family val="2"/>
      </rPr>
      <t xml:space="preserve">第</t>
    </r>
    <r>
      <rPr>
        <sz val="10"/>
        <rFont val="Noto Sans CJK SC"/>
        <family val="2"/>
        <charset val="1"/>
      </rPr>
      <t xml:space="preserve">3</t>
    </r>
    <r>
      <rPr>
        <sz val="10"/>
        <rFont val="WenQuanYi Zen Hei"/>
        <family val="2"/>
      </rPr>
      <t xml:space="preserve">世代セルの販売価格（</t>
    </r>
    <r>
      <rPr>
        <sz val="10"/>
        <rFont val="Noto Sans CJK SC"/>
        <family val="2"/>
        <charset val="1"/>
      </rPr>
      <t xml:space="preserve">1kWh</t>
    </r>
    <r>
      <rPr>
        <sz val="10"/>
        <rFont val="WenQuanYi Zen Hei"/>
        <family val="2"/>
      </rPr>
      <t xml:space="preserve">あたり）はいくらですか？</t>
    </r>
  </si>
  <si>
    <t xml:space="preserve">【記載なし】全体</t>
  </si>
  <si>
    <r>
      <rPr>
        <sz val="11"/>
        <color theme="1"/>
        <rFont val="WenQuanYi Zen Hei"/>
        <family val="2"/>
      </rPr>
      <t xml:space="preserve">資料には、第</t>
    </r>
    <r>
      <rPr>
        <sz val="11"/>
        <color theme="1"/>
        <rFont val="Calibri"/>
        <family val="2"/>
        <charset val="1"/>
      </rPr>
      <t xml:space="preserve">3</t>
    </r>
    <r>
      <rPr>
        <sz val="11"/>
        <color theme="1"/>
        <rFont val="WenQuanYi Zen Hei"/>
        <family val="2"/>
      </rPr>
      <t xml:space="preserve">世代セルの販売価格（</t>
    </r>
    <r>
      <rPr>
        <sz val="11"/>
        <color theme="1"/>
        <rFont val="Calibri"/>
        <family val="2"/>
        <charset val="1"/>
      </rPr>
      <t xml:space="preserve">1kWh</t>
    </r>
    <r>
      <rPr>
        <sz val="11"/>
        <color theme="1"/>
        <rFont val="WenQuanYi Zen Hei"/>
        <family val="2"/>
      </rPr>
      <t xml:space="preserve">あたり）は記載されていません。
資料に含まれている第</t>
    </r>
    <r>
      <rPr>
        <sz val="11"/>
        <color theme="1"/>
        <rFont val="Calibri"/>
        <family val="2"/>
        <charset val="1"/>
      </rPr>
      <t xml:space="preserve">3</t>
    </r>
    <r>
      <rPr>
        <sz val="11"/>
        <color theme="1"/>
        <rFont val="WenQuanYi Zen Hei"/>
        <family val="2"/>
      </rPr>
      <t xml:space="preserve">世代セル関連の数値は、サイクル寿命（</t>
    </r>
    <r>
      <rPr>
        <sz val="11"/>
        <color theme="1"/>
        <rFont val="Calibri"/>
        <family val="2"/>
        <charset val="1"/>
      </rPr>
      <t xml:space="preserve">10,000</t>
    </r>
    <r>
      <rPr>
        <sz val="11"/>
        <color theme="1"/>
        <rFont val="WenQuanYi Zen Hei"/>
        <family val="2"/>
      </rPr>
      <t xml:space="preserve">回）、重量エネルギー密度（</t>
    </r>
    <r>
      <rPr>
        <sz val="11"/>
        <color theme="1"/>
        <rFont val="Calibri"/>
        <family val="2"/>
        <charset val="1"/>
      </rPr>
      <t xml:space="preserve">420 Wh/kg</t>
    </r>
    <r>
      <rPr>
        <sz val="11"/>
        <color theme="1"/>
        <rFont val="WenQuanYi Zen Hei"/>
        <family val="2"/>
      </rPr>
      <t xml:space="preserve">）、材料構成、層の厚み、開発予算（年度別・</t>
    </r>
    <r>
      <rPr>
        <sz val="11"/>
        <color theme="1"/>
        <rFont val="Calibri"/>
        <family val="2"/>
        <charset val="1"/>
      </rPr>
      <t xml:space="preserve">5</t>
    </r>
    <r>
      <rPr>
        <sz val="11"/>
        <color theme="1"/>
        <rFont val="WenQuanYi Zen Hei"/>
        <family val="2"/>
      </rPr>
      <t xml:space="preserve">年間合計</t>
    </r>
    <r>
      <rPr>
        <sz val="11"/>
        <color theme="1"/>
        <rFont val="Calibri"/>
        <family val="2"/>
        <charset val="1"/>
      </rPr>
      <t xml:space="preserve">84</t>
    </r>
    <r>
      <rPr>
        <sz val="11"/>
        <color theme="1"/>
        <rFont val="WenQuanYi Zen Hei"/>
        <family val="2"/>
      </rPr>
      <t xml:space="preserve">億円）などで、販売価格や</t>
    </r>
    <r>
      <rPr>
        <sz val="11"/>
        <color theme="1"/>
        <rFont val="Calibri"/>
        <family val="2"/>
        <charset val="1"/>
      </rPr>
      <t xml:space="preserve">kWh</t>
    </r>
    <r>
      <rPr>
        <sz val="11"/>
        <color theme="1"/>
        <rFont val="WenQuanYi Zen Hei"/>
        <family val="2"/>
      </rPr>
      <t xml:space="preserve">あたりのコストについての情報はありません。なお、販売開始は</t>
    </r>
    <r>
      <rPr>
        <sz val="11"/>
        <color theme="1"/>
        <rFont val="Calibri"/>
        <family val="2"/>
        <charset val="1"/>
      </rPr>
      <t xml:space="preserve">2031</t>
    </r>
    <r>
      <rPr>
        <sz val="11"/>
        <color theme="1"/>
        <rFont val="WenQuanYi Zen Hei"/>
        <family val="2"/>
      </rPr>
      <t xml:space="preserve">年の予定とされています（スライド</t>
    </r>
    <r>
      <rPr>
        <sz val="11"/>
        <color theme="1"/>
        <rFont val="Calibri"/>
        <family val="2"/>
        <charset val="1"/>
      </rPr>
      <t xml:space="preserve">6</t>
    </r>
    <r>
      <rPr>
        <sz val="11"/>
        <color theme="1"/>
        <rFont val="WenQuanYi Zen Hei"/>
        <family val="2"/>
      </rPr>
      <t xml:space="preserve">）。</t>
    </r>
  </si>
  <si>
    <t xml:space="preserve">10-20</t>
  </si>
  <si>
    <t xml:space="preserve">集計（自動計算）</t>
  </si>
  <si>
    <t xml:space="preserve">使用モデル</t>
  </si>
  <si>
    <r>
      <rPr>
        <sz val="11"/>
        <color theme="1"/>
        <rFont val="Calibri"/>
        <family val="2"/>
        <charset val="1"/>
      </rPr>
      <t xml:space="preserve">claude-opus-5-5</t>
    </r>
    <r>
      <rPr>
        <sz val="11"/>
        <color theme="1"/>
        <rFont val="WenQuanYi Zen Hei"/>
        <family val="2"/>
      </rPr>
      <t xml:space="preserve">（</t>
    </r>
    <r>
      <rPr>
        <sz val="11"/>
        <color theme="1"/>
        <rFont val="Calibri"/>
        <family val="2"/>
        <charset val="1"/>
      </rPr>
      <t xml:space="preserve">1</t>
    </r>
    <r>
      <rPr>
        <sz val="11"/>
        <color theme="1"/>
        <rFont val="WenQuanYi Zen Hei"/>
        <family val="2"/>
      </rPr>
      <t xml:space="preserve">問ごとに新規サブエージェント）</t>
    </r>
  </si>
  <si>
    <t xml:space="preserve">入力方法（抽出テキスト／画像／ファイル直接など）</t>
  </si>
  <si>
    <r>
      <rPr>
        <sz val="11"/>
        <color theme="1"/>
        <rFont val="WenQuanYi Zen Hei"/>
        <family val="2"/>
      </rPr>
      <t xml:space="preserve">抽出テキスト（</t>
    </r>
    <r>
      <rPr>
        <sz val="11"/>
        <color theme="1"/>
        <rFont val="Calibri"/>
        <family val="2"/>
        <charset val="1"/>
      </rPr>
      <t xml:space="preserve">pptx</t>
    </r>
    <r>
      <rPr>
        <sz val="11"/>
        <color theme="1"/>
        <rFont val="WenQuanYi Zen Hei"/>
        <family val="2"/>
      </rPr>
      <t xml:space="preserve">を変換した</t>
    </r>
    <r>
      <rPr>
        <sz val="11"/>
        <color theme="1"/>
        <rFont val="Calibri"/>
        <family val="2"/>
        <charset val="1"/>
      </rPr>
      <t xml:space="preserve">Markdown</t>
    </r>
    <r>
      <rPr>
        <sz val="11"/>
        <color theme="1"/>
        <rFont val="WenQuanYi Zen Hei"/>
        <family val="2"/>
      </rPr>
      <t xml:space="preserve">を入力。</t>
    </r>
    <r>
      <rPr>
        <sz val="11"/>
        <color theme="1"/>
        <rFont val="Calibri"/>
        <family val="2"/>
        <charset val="1"/>
      </rPr>
      <t xml:space="preserve">xlsx</t>
    </r>
    <r>
      <rPr>
        <sz val="11"/>
        <color theme="1"/>
        <rFont val="WenQuanYi Zen Hei"/>
        <family val="2"/>
      </rPr>
      <t xml:space="preserve">・正解は非提示）</t>
    </r>
  </si>
  <si>
    <r>
      <rPr>
        <sz val="10"/>
        <color rgb="FF7F7F7F"/>
        <rFont val="WenQuanYi Zen Hei"/>
        <family val="2"/>
      </rPr>
      <t xml:space="preserve">正答率 </t>
    </r>
    <r>
      <rPr>
        <sz val="10"/>
        <color rgb="FF7F7F7F"/>
        <rFont val="Noto Sans CJK SC"/>
        <family val="2"/>
        <charset val="1"/>
      </rPr>
      <t xml:space="preserve">= (OK + 0.5×</t>
    </r>
    <r>
      <rPr>
        <sz val="10"/>
        <color rgb="FF7F7F7F"/>
        <rFont val="WenQuanYi Zen Hei"/>
        <family val="2"/>
      </rPr>
      <t xml:space="preserve">部分</t>
    </r>
    <r>
      <rPr>
        <sz val="10"/>
        <color rgb="FF7F7F7F"/>
        <rFont val="Noto Sans CJK SC"/>
        <family val="2"/>
        <charset val="1"/>
      </rPr>
      <t xml:space="preserve">) ÷ </t>
    </r>
    <r>
      <rPr>
        <sz val="10"/>
        <color rgb="FF7F7F7F"/>
        <rFont val="WenQuanYi Zen Hei"/>
        <family val="2"/>
      </rPr>
      <t xml:space="preserve">判定記入数</t>
    </r>
  </si>
  <si>
    <t xml:space="preserve">ファイル</t>
  </si>
  <si>
    <t xml:space="preserve">問題数</t>
  </si>
  <si>
    <t xml:space="preserve">部分</t>
  </si>
  <si>
    <t xml:space="preserve">NG</t>
  </si>
  <si>
    <t xml:space="preserve">未記入</t>
  </si>
  <si>
    <t xml:space="preserve">正答率</t>
  </si>
  <si>
    <r>
      <rPr>
        <sz val="10"/>
        <rFont val="Meiryo UI"/>
        <family val="0"/>
        <charset val="1"/>
      </rPr>
      <t xml:space="preserve">06_</t>
    </r>
    <r>
      <rPr>
        <sz val="10"/>
        <rFont val="WenQuanYi Zen Hei"/>
        <family val="2"/>
      </rPr>
      <t xml:space="preserve">新規出店計画</t>
    </r>
  </si>
  <si>
    <r>
      <rPr>
        <sz val="10"/>
        <rFont val="Meiryo UI"/>
        <family val="0"/>
        <charset val="1"/>
      </rPr>
      <t xml:space="preserve">07_</t>
    </r>
    <r>
      <rPr>
        <sz val="10"/>
        <rFont val="WenQuanYi Zen Hei"/>
        <family val="2"/>
      </rPr>
      <t xml:space="preserve">品質改善報告</t>
    </r>
  </si>
  <si>
    <r>
      <rPr>
        <sz val="10"/>
        <rFont val="Meiryo UI"/>
        <family val="0"/>
        <charset val="1"/>
      </rPr>
      <t xml:space="preserve">08_</t>
    </r>
    <r>
      <rPr>
        <sz val="10"/>
        <rFont val="WenQuanYi Zen Hei"/>
        <family val="2"/>
      </rPr>
      <t xml:space="preserve">デジタル広告</t>
    </r>
  </si>
  <si>
    <r>
      <rPr>
        <sz val="10"/>
        <rFont val="Meiryo UI"/>
        <family val="0"/>
        <charset val="1"/>
      </rPr>
      <t xml:space="preserve">09_</t>
    </r>
    <r>
      <rPr>
        <sz val="10"/>
        <rFont val="WenQuanYi Zen Hei"/>
        <family val="2"/>
      </rPr>
      <t xml:space="preserve">組織再編案</t>
    </r>
  </si>
  <si>
    <r>
      <rPr>
        <sz val="10"/>
        <rFont val="Meiryo UI"/>
        <family val="0"/>
        <charset val="1"/>
      </rPr>
      <t xml:space="preserve">10_</t>
    </r>
    <r>
      <rPr>
        <sz val="10"/>
        <rFont val="WenQuanYi Zen Hei"/>
        <family val="2"/>
      </rPr>
      <t xml:space="preserve">技術ロードマップ</t>
    </r>
  </si>
  <si>
    <t xml:space="preserve">合計</t>
  </si>
  <si>
    <t xml:space="preserve">問題種別ごと（全ファイル合計）</t>
  </si>
  <si>
    <t xml:space="preserve">※「対象外」は判定記入数に含めない（未記入列にカウントされる）。理由は各シートの備考を参照。</t>
  </si>
</sst>
</file>

<file path=xl/styles.xml><?xml version="1.0" encoding="utf-8"?>
<styleSheet xmlns="http://schemas.openxmlformats.org/spreadsheetml/2006/main">
  <numFmts count="3">
    <numFmt numFmtId="164" formatCode="General"/>
    <numFmt numFmtId="165" formatCode="0%"/>
    <numFmt numFmtId="166" formatCode="General"/>
  </numFmts>
  <fonts count="24">
    <font>
      <sz val="11"/>
      <color theme="1"/>
      <name val="Calibri"/>
      <family val="2"/>
      <charset val="1"/>
    </font>
    <font>
      <sz val="10"/>
      <name val="Arial"/>
      <family val="0"/>
    </font>
    <font>
      <sz val="10"/>
      <name val="Arial"/>
      <family val="0"/>
    </font>
    <font>
      <sz val="10"/>
      <name val="Arial"/>
      <family val="0"/>
    </font>
    <font>
      <b val="true"/>
      <sz val="16"/>
      <name val="WenQuanYi Zen Hei"/>
      <family val="2"/>
    </font>
    <font>
      <b val="true"/>
      <sz val="16"/>
      <name val="Noto Sans CJK SC"/>
      <family val="2"/>
      <charset val="1"/>
    </font>
    <font>
      <sz val="10"/>
      <name val="Meiryo UI"/>
      <family val="0"/>
      <charset val="1"/>
    </font>
    <font>
      <b val="true"/>
      <sz val="12"/>
      <name val="WenQuanYi Zen Hei"/>
      <family val="2"/>
    </font>
    <font>
      <sz val="10"/>
      <name val="WenQuanYi Zen Hei"/>
      <family val="2"/>
    </font>
    <font>
      <sz val="10"/>
      <name val="Noto Sans CJK SC"/>
      <family val="2"/>
      <charset val="1"/>
    </font>
    <font>
      <b val="true"/>
      <sz val="12"/>
      <name val="Noto Sans CJK SC"/>
      <family val="2"/>
      <charset val="1"/>
    </font>
    <font>
      <b val="true"/>
      <sz val="10"/>
      <color rgb="FFFFFFFF"/>
      <name val="Meiryo UI"/>
      <family val="0"/>
      <charset val="1"/>
    </font>
    <font>
      <b val="true"/>
      <sz val="10"/>
      <color rgb="FFFFFFFF"/>
      <name val="WenQuanYi Zen Hei"/>
      <family val="2"/>
    </font>
    <font>
      <sz val="11"/>
      <color theme="1"/>
      <name val="WenQuanYi Zen Hei"/>
      <family val="2"/>
    </font>
    <font>
      <b val="true"/>
      <sz val="10"/>
      <color rgb="FF7F7F7F"/>
      <name val="WenQuanYi Zen Hei"/>
      <family val="2"/>
    </font>
    <font>
      <b val="true"/>
      <sz val="10"/>
      <color rgb="FF7F7F7F"/>
      <name val="Noto Sans CJK SC"/>
      <family val="2"/>
      <charset val="1"/>
    </font>
    <font>
      <i val="true"/>
      <sz val="10"/>
      <color rgb="FF7F7F7F"/>
      <name val="Meiryo UI"/>
      <family val="0"/>
      <charset val="1"/>
    </font>
    <font>
      <i val="true"/>
      <sz val="10"/>
      <color rgb="FF7F7F7F"/>
      <name val="WenQuanYi Zen Hei"/>
      <family val="2"/>
    </font>
    <font>
      <i val="true"/>
      <sz val="10"/>
      <color rgb="FF7F7F7F"/>
      <name val="Noto Sans CJK SC"/>
      <family val="2"/>
      <charset val="1"/>
    </font>
    <font>
      <b val="true"/>
      <sz val="14"/>
      <name val="WenQuanYi Zen Hei"/>
      <family val="2"/>
    </font>
    <font>
      <b val="true"/>
      <sz val="10"/>
      <name val="WenQuanYi Zen Hei"/>
      <family val="2"/>
    </font>
    <font>
      <sz val="10"/>
      <color rgb="FF7F7F7F"/>
      <name val="WenQuanYi Zen Hei"/>
      <family val="2"/>
    </font>
    <font>
      <sz val="10"/>
      <color rgb="FF7F7F7F"/>
      <name val="Noto Sans CJK SC"/>
      <family val="2"/>
      <charset val="1"/>
    </font>
    <font>
      <b val="true"/>
      <sz val="10"/>
      <name val="Meiryo UI"/>
      <family val="0"/>
      <charset val="1"/>
    </font>
  </fonts>
  <fills count="4">
    <fill>
      <patternFill patternType="none"/>
    </fill>
    <fill>
      <patternFill patternType="gray125"/>
    </fill>
    <fill>
      <patternFill patternType="solid">
        <fgColor rgb="FF1F3A5F"/>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12" fillId="2" borderId="1"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true" applyAlignment="tru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6" fontId="23" fillId="0" borderId="1" xfId="0" applyFont="true" applyBorder="true" applyAlignment="true" applyProtection="false">
      <alignment horizontal="general" vertical="bottom" textRotation="0" wrapText="false" indent="0" shrinkToFit="false"/>
      <protection locked="true" hidden="false"/>
    </xf>
    <xf numFmtId="165" fontId="23"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23.25" hidden="false" customHeight="true" outlineLevel="0" collapsed="false">
      <c r="A1" s="2" t="s">
        <v>0</v>
      </c>
    </row>
    <row r="2" customFormat="false" ht="15" hidden="false" customHeight="true" outlineLevel="0" collapsed="false">
      <c r="A2" s="3"/>
    </row>
    <row r="3" customFormat="false" ht="15" hidden="false" customHeight="true" outlineLevel="0" collapsed="false">
      <c r="A3" s="4" t="s">
        <v>1</v>
      </c>
    </row>
    <row r="4" customFormat="false" ht="15" hidden="false" customHeight="true" outlineLevel="0" collapsed="false">
      <c r="A4" s="5" t="s">
        <v>2</v>
      </c>
    </row>
    <row r="5" customFormat="false" ht="15" hidden="false" customHeight="true" outlineLevel="0" collapsed="false">
      <c r="A5" s="5" t="s">
        <v>3</v>
      </c>
    </row>
    <row r="6" customFormat="false" ht="15" hidden="false" customHeight="true" outlineLevel="0" collapsed="false">
      <c r="A6" s="5" t="s">
        <v>4</v>
      </c>
    </row>
    <row r="7" customFormat="false" ht="15" hidden="false" customHeight="true" outlineLevel="0" collapsed="false">
      <c r="A7" s="5" t="s">
        <v>5</v>
      </c>
    </row>
    <row r="8" customFormat="false" ht="15" hidden="false" customHeight="true" outlineLevel="0" collapsed="false">
      <c r="A8" s="5"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row>
    <row r="16" customFormat="false" ht="15" hidden="false" customHeight="true" outlineLevel="0" collapsed="false">
      <c r="A16" s="4" t="s">
        <v>12</v>
      </c>
    </row>
    <row r="17" customFormat="false" ht="15" hidden="false" customHeight="true" outlineLevel="0" collapsed="false">
      <c r="A17" s="5"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5" t="s">
        <v>15</v>
      </c>
    </row>
    <row r="21" customFormat="false" ht="15" hidden="false" customHeight="true" outlineLevel="0" collapsed="false">
      <c r="A21" s="5"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0"/>
    <col collapsed="false" customWidth="true" hidden="false" outlineLevel="0" max="3" min="3" style="1" width="14"/>
    <col collapsed="false" customWidth="true" hidden="false" outlineLevel="0" max="5" min="4" style="1" width="46"/>
    <col collapsed="false" customWidth="true" hidden="false" outlineLevel="0" max="6" min="6" style="1" width="30"/>
    <col collapsed="false" customWidth="true" hidden="false" outlineLevel="0" max="7" min="7" style="1" width="28"/>
    <col collapsed="false" customWidth="true" hidden="false" outlineLevel="0" max="8" min="8" style="1" width="8"/>
    <col collapsed="false" customWidth="true" hidden="false" outlineLevel="0" max="9" min="9" style="1" width="40"/>
    <col collapsed="false" customWidth="true" hidden="false" outlineLevel="0" max="10" min="10" style="1" width="24"/>
    <col collapsed="false" customWidth="true" hidden="false" outlineLevel="0" max="11" min="11" style="0" width="80"/>
    <col collapsed="false" customWidth="true" hidden="false" outlineLevel="0" max="12" min="12" style="0" width="10"/>
  </cols>
  <sheetData>
    <row r="1" customFormat="false" ht="18.75" hidden="false" customHeight="true" outlineLevel="0" collapsed="false">
      <c r="A1" s="4" t="s">
        <v>17</v>
      </c>
    </row>
    <row r="2" customFormat="false" ht="29.25" hidden="false" customHeight="true" outlineLevel="0" collapsed="false">
      <c r="A2" s="6" t="s">
        <v>18</v>
      </c>
      <c r="B2" s="7" t="s">
        <v>19</v>
      </c>
      <c r="C2" s="7" t="s">
        <v>20</v>
      </c>
      <c r="D2" s="7" t="s">
        <v>21</v>
      </c>
      <c r="E2" s="7" t="s">
        <v>22</v>
      </c>
      <c r="F2" s="7" t="s">
        <v>23</v>
      </c>
      <c r="G2" s="7" t="s">
        <v>24</v>
      </c>
      <c r="H2" s="7" t="s">
        <v>25</v>
      </c>
      <c r="I2" s="6" t="s">
        <v>26</v>
      </c>
      <c r="J2" s="7" t="s">
        <v>27</v>
      </c>
      <c r="K2" s="0" t="s">
        <v>28</v>
      </c>
      <c r="L2" s="8" t="s">
        <v>29</v>
      </c>
    </row>
    <row r="3" customFormat="false" ht="43.5" hidden="false" customHeight="true" outlineLevel="0" collapsed="false">
      <c r="A3" s="9" t="n">
        <v>1</v>
      </c>
      <c r="B3" s="9" t="s">
        <v>30</v>
      </c>
      <c r="C3" s="10" t="s">
        <v>31</v>
      </c>
      <c r="D3" s="10" t="s">
        <v>32</v>
      </c>
      <c r="E3" s="10" t="s">
        <v>33</v>
      </c>
      <c r="F3" s="10" t="s">
        <v>34</v>
      </c>
      <c r="G3" s="10" t="s">
        <v>35</v>
      </c>
      <c r="H3" s="11" t="s">
        <v>36</v>
      </c>
      <c r="I3" s="12" t="s">
        <v>33</v>
      </c>
      <c r="J3" s="12"/>
      <c r="K3" s="13" t="s">
        <v>37</v>
      </c>
      <c r="L3" s="0" t="s">
        <v>38</v>
      </c>
    </row>
    <row r="4" customFormat="false" ht="43.5" hidden="false" customHeight="true" outlineLevel="0" collapsed="false">
      <c r="A4" s="9" t="n">
        <v>2</v>
      </c>
      <c r="B4" s="9" t="s">
        <v>30</v>
      </c>
      <c r="C4" s="10" t="s">
        <v>31</v>
      </c>
      <c r="D4" s="10" t="s">
        <v>39</v>
      </c>
      <c r="E4" s="10" t="s">
        <v>40</v>
      </c>
      <c r="F4" s="10" t="s">
        <v>34</v>
      </c>
      <c r="G4" s="10" t="s">
        <v>41</v>
      </c>
      <c r="H4" s="11" t="s">
        <v>36</v>
      </c>
      <c r="I4" s="12" t="s">
        <v>42</v>
      </c>
      <c r="J4" s="12"/>
      <c r="K4" s="13" t="s">
        <v>43</v>
      </c>
      <c r="L4" s="0" t="s">
        <v>44</v>
      </c>
    </row>
    <row r="5" customFormat="false" ht="43.5" hidden="false" customHeight="true" outlineLevel="0" collapsed="false">
      <c r="A5" s="9" t="n">
        <v>3</v>
      </c>
      <c r="B5" s="9" t="s">
        <v>45</v>
      </c>
      <c r="C5" s="10" t="s">
        <v>46</v>
      </c>
      <c r="D5" s="10" t="s">
        <v>47</v>
      </c>
      <c r="E5" s="10" t="s">
        <v>48</v>
      </c>
      <c r="F5" s="10" t="s">
        <v>34</v>
      </c>
      <c r="G5" s="10" t="s">
        <v>49</v>
      </c>
      <c r="H5" s="11" t="s">
        <v>36</v>
      </c>
      <c r="I5" s="12" t="s">
        <v>50</v>
      </c>
      <c r="J5" s="12"/>
      <c r="K5" s="13" t="s">
        <v>51</v>
      </c>
      <c r="L5" s="0" t="s">
        <v>52</v>
      </c>
    </row>
    <row r="6" customFormat="false" ht="43.5" hidden="false" customHeight="true" outlineLevel="0" collapsed="false">
      <c r="A6" s="9" t="n">
        <v>4</v>
      </c>
      <c r="B6" s="9" t="s">
        <v>45</v>
      </c>
      <c r="C6" s="10" t="s">
        <v>46</v>
      </c>
      <c r="D6" s="10" t="s">
        <v>53</v>
      </c>
      <c r="E6" s="10" t="s">
        <v>54</v>
      </c>
      <c r="F6" s="10" t="s">
        <v>34</v>
      </c>
      <c r="G6" s="10" t="s">
        <v>55</v>
      </c>
      <c r="H6" s="11" t="s">
        <v>36</v>
      </c>
      <c r="I6" s="12" t="s">
        <v>56</v>
      </c>
      <c r="J6" s="12"/>
      <c r="K6" s="13" t="s">
        <v>57</v>
      </c>
      <c r="L6" s="0" t="s">
        <v>58</v>
      </c>
    </row>
    <row r="7" customFormat="false" ht="43.5" hidden="false" customHeight="true" outlineLevel="0" collapsed="false">
      <c r="A7" s="9" t="n">
        <v>5</v>
      </c>
      <c r="B7" s="9" t="s">
        <v>45</v>
      </c>
      <c r="C7" s="10" t="s">
        <v>46</v>
      </c>
      <c r="D7" s="10" t="s">
        <v>59</v>
      </c>
      <c r="E7" s="10" t="s">
        <v>60</v>
      </c>
      <c r="F7" s="10" t="s">
        <v>34</v>
      </c>
      <c r="G7" s="10" t="s">
        <v>61</v>
      </c>
      <c r="H7" s="11" t="s">
        <v>36</v>
      </c>
      <c r="I7" s="12" t="s">
        <v>62</v>
      </c>
      <c r="J7" s="12"/>
      <c r="K7" s="13" t="s">
        <v>63</v>
      </c>
      <c r="L7" s="0" t="s">
        <v>64</v>
      </c>
    </row>
    <row r="8" customFormat="false" ht="43.5" hidden="false" customHeight="true" outlineLevel="0" collapsed="false">
      <c r="A8" s="9" t="n">
        <v>6</v>
      </c>
      <c r="B8" s="9" t="s">
        <v>65</v>
      </c>
      <c r="C8" s="10" t="s">
        <v>66</v>
      </c>
      <c r="D8" s="10" t="s">
        <v>67</v>
      </c>
      <c r="E8" s="10" t="s">
        <v>68</v>
      </c>
      <c r="F8" s="10" t="s">
        <v>69</v>
      </c>
      <c r="G8" s="10" t="s">
        <v>70</v>
      </c>
      <c r="H8" s="11" t="s">
        <v>36</v>
      </c>
      <c r="I8" s="12" t="s">
        <v>71</v>
      </c>
      <c r="J8" s="12" t="s">
        <v>72</v>
      </c>
      <c r="K8" s="13" t="s">
        <v>73</v>
      </c>
      <c r="L8" s="0" t="s">
        <v>74</v>
      </c>
    </row>
    <row r="9" customFormat="false" ht="43.5" hidden="false" customHeight="true" outlineLevel="0" collapsed="false">
      <c r="A9" s="9" t="n">
        <v>7</v>
      </c>
      <c r="B9" s="9" t="s">
        <v>65</v>
      </c>
      <c r="C9" s="10" t="s">
        <v>75</v>
      </c>
      <c r="D9" s="10" t="s">
        <v>76</v>
      </c>
      <c r="E9" s="9" t="s">
        <v>77</v>
      </c>
      <c r="F9" s="10" t="s">
        <v>34</v>
      </c>
      <c r="G9" s="10" t="s">
        <v>78</v>
      </c>
      <c r="H9" s="11" t="s">
        <v>36</v>
      </c>
      <c r="I9" s="11" t="s">
        <v>79</v>
      </c>
      <c r="J9" s="11"/>
      <c r="K9" s="13" t="s">
        <v>80</v>
      </c>
      <c r="L9" s="0" t="s">
        <v>81</v>
      </c>
    </row>
    <row r="10" customFormat="false" ht="43.5" hidden="false" customHeight="true" outlineLevel="0" collapsed="false">
      <c r="A10" s="9" t="n">
        <v>8</v>
      </c>
      <c r="B10" s="9" t="s">
        <v>82</v>
      </c>
      <c r="C10" s="10" t="s">
        <v>66</v>
      </c>
      <c r="D10" s="10" t="s">
        <v>83</v>
      </c>
      <c r="E10" s="10" t="s">
        <v>84</v>
      </c>
      <c r="F10" s="10" t="s">
        <v>34</v>
      </c>
      <c r="G10" s="10" t="s">
        <v>85</v>
      </c>
      <c r="H10" s="11" t="s">
        <v>36</v>
      </c>
      <c r="I10" s="12" t="s">
        <v>84</v>
      </c>
      <c r="J10" s="11"/>
      <c r="K10" s="13" t="s">
        <v>86</v>
      </c>
      <c r="L10" s="0" t="s">
        <v>87</v>
      </c>
    </row>
    <row r="11" customFormat="false" ht="43.5" hidden="false" customHeight="true" outlineLevel="0" collapsed="false">
      <c r="A11" s="9" t="n">
        <v>9</v>
      </c>
      <c r="B11" s="9" t="s">
        <v>82</v>
      </c>
      <c r="C11" s="10" t="s">
        <v>66</v>
      </c>
      <c r="D11" s="10" t="s">
        <v>88</v>
      </c>
      <c r="E11" s="10" t="s">
        <v>89</v>
      </c>
      <c r="F11" s="10" t="s">
        <v>34</v>
      </c>
      <c r="G11" s="10" t="s">
        <v>90</v>
      </c>
      <c r="H11" s="11" t="s">
        <v>36</v>
      </c>
      <c r="I11" s="12" t="s">
        <v>89</v>
      </c>
      <c r="J11" s="11"/>
      <c r="K11" s="13" t="s">
        <v>91</v>
      </c>
      <c r="L11" s="0" t="s">
        <v>92</v>
      </c>
    </row>
    <row r="12" customFormat="false" ht="43.5" hidden="false" customHeight="true" outlineLevel="0" collapsed="false">
      <c r="A12" s="9" t="n">
        <v>10</v>
      </c>
      <c r="B12" s="9" t="s">
        <v>93</v>
      </c>
      <c r="C12" s="10" t="s">
        <v>94</v>
      </c>
      <c r="D12" s="10" t="s">
        <v>95</v>
      </c>
      <c r="E12" s="10" t="s">
        <v>96</v>
      </c>
      <c r="F12" s="10" t="s">
        <v>34</v>
      </c>
      <c r="G12" s="10" t="s">
        <v>97</v>
      </c>
      <c r="H12" s="11" t="s">
        <v>36</v>
      </c>
      <c r="I12" s="12" t="s">
        <v>96</v>
      </c>
      <c r="J12" s="11"/>
      <c r="K12" s="13" t="s">
        <v>98</v>
      </c>
      <c r="L12" s="0" t="s">
        <v>99</v>
      </c>
    </row>
    <row r="13" customFormat="false" ht="43.5" hidden="false" customHeight="true" outlineLevel="0" collapsed="false">
      <c r="A13" s="9" t="n">
        <v>11</v>
      </c>
      <c r="B13" s="9" t="s">
        <v>93</v>
      </c>
      <c r="C13" s="10" t="s">
        <v>100</v>
      </c>
      <c r="D13" s="10" t="s">
        <v>101</v>
      </c>
      <c r="E13" s="9" t="s">
        <v>102</v>
      </c>
      <c r="F13" s="10" t="s">
        <v>103</v>
      </c>
      <c r="G13" s="10" t="s">
        <v>104</v>
      </c>
      <c r="H13" s="11" t="s">
        <v>36</v>
      </c>
      <c r="I13" s="11" t="s">
        <v>102</v>
      </c>
      <c r="J13" s="11"/>
      <c r="K13" s="13" t="s">
        <v>105</v>
      </c>
      <c r="L13" s="0" t="s">
        <v>106</v>
      </c>
    </row>
    <row r="14" customFormat="false" ht="43.5" hidden="false" customHeight="true" outlineLevel="0" collapsed="false">
      <c r="A14" s="9" t="n">
        <v>12</v>
      </c>
      <c r="B14" s="9" t="s">
        <v>93</v>
      </c>
      <c r="C14" s="10" t="s">
        <v>94</v>
      </c>
      <c r="D14" s="10" t="s">
        <v>107</v>
      </c>
      <c r="E14" s="10" t="s">
        <v>108</v>
      </c>
      <c r="F14" s="10" t="s">
        <v>34</v>
      </c>
      <c r="G14" s="10" t="s">
        <v>109</v>
      </c>
      <c r="H14" s="11" t="s">
        <v>36</v>
      </c>
      <c r="I14" s="12" t="s">
        <v>110</v>
      </c>
      <c r="J14" s="11"/>
      <c r="K14" s="13" t="s">
        <v>111</v>
      </c>
      <c r="L14" s="0" t="s">
        <v>112</v>
      </c>
    </row>
    <row r="15" customFormat="false" ht="43.5" hidden="false" customHeight="true" outlineLevel="0" collapsed="false">
      <c r="A15" s="9" t="n">
        <v>13</v>
      </c>
      <c r="B15" s="9" t="s">
        <v>113</v>
      </c>
      <c r="C15" s="10" t="s">
        <v>114</v>
      </c>
      <c r="D15" s="10" t="s">
        <v>115</v>
      </c>
      <c r="E15" s="10" t="s">
        <v>116</v>
      </c>
      <c r="F15" s="10" t="s">
        <v>34</v>
      </c>
      <c r="G15" s="10" t="s">
        <v>117</v>
      </c>
      <c r="H15" s="11" t="s">
        <v>36</v>
      </c>
      <c r="I15" s="12" t="s">
        <v>116</v>
      </c>
      <c r="J15" s="12" t="s">
        <v>118</v>
      </c>
      <c r="K15" s="13" t="s">
        <v>119</v>
      </c>
      <c r="L15" s="0" t="s">
        <v>120</v>
      </c>
    </row>
    <row r="16" customFormat="false" ht="43.5" hidden="false" customHeight="true" outlineLevel="0" collapsed="false">
      <c r="A16" s="9" t="n">
        <v>14</v>
      </c>
      <c r="B16" s="9" t="s">
        <v>113</v>
      </c>
      <c r="C16" s="10" t="s">
        <v>31</v>
      </c>
      <c r="D16" s="10" t="s">
        <v>121</v>
      </c>
      <c r="E16" s="10" t="s">
        <v>122</v>
      </c>
      <c r="F16" s="10" t="s">
        <v>34</v>
      </c>
      <c r="G16" s="10" t="s">
        <v>123</v>
      </c>
      <c r="H16" s="11" t="s">
        <v>36</v>
      </c>
      <c r="I16" s="12" t="s">
        <v>122</v>
      </c>
      <c r="J16" s="11"/>
      <c r="K16" s="13" t="s">
        <v>124</v>
      </c>
      <c r="L16" s="0" t="s">
        <v>125</v>
      </c>
    </row>
    <row r="17" customFormat="false" ht="43.5" hidden="false" customHeight="true" outlineLevel="0" collapsed="false">
      <c r="A17" s="9" t="n">
        <v>15</v>
      </c>
      <c r="B17" s="9" t="s">
        <v>126</v>
      </c>
      <c r="C17" s="10" t="s">
        <v>31</v>
      </c>
      <c r="D17" s="10" t="s">
        <v>127</v>
      </c>
      <c r="E17" s="9" t="s">
        <v>128</v>
      </c>
      <c r="F17" s="10" t="s">
        <v>34</v>
      </c>
      <c r="G17" s="10" t="s">
        <v>129</v>
      </c>
      <c r="H17" s="11" t="s">
        <v>36</v>
      </c>
      <c r="I17" s="11" t="s">
        <v>128</v>
      </c>
      <c r="J17" s="11"/>
      <c r="K17" s="13" t="s">
        <v>130</v>
      </c>
      <c r="L17" s="0" t="s">
        <v>131</v>
      </c>
    </row>
    <row r="18" customFormat="false" ht="43.5" hidden="false" customHeight="true" outlineLevel="0" collapsed="false">
      <c r="A18" s="9" t="n">
        <v>16</v>
      </c>
      <c r="B18" s="9" t="s">
        <v>126</v>
      </c>
      <c r="C18" s="10" t="s">
        <v>31</v>
      </c>
      <c r="D18" s="10" t="s">
        <v>132</v>
      </c>
      <c r="E18" s="10" t="s">
        <v>133</v>
      </c>
      <c r="F18" s="10" t="s">
        <v>34</v>
      </c>
      <c r="G18" s="10" t="s">
        <v>134</v>
      </c>
      <c r="H18" s="11" t="s">
        <v>36</v>
      </c>
      <c r="I18" s="12" t="s">
        <v>135</v>
      </c>
      <c r="J18" s="11"/>
      <c r="K18" s="13" t="s">
        <v>136</v>
      </c>
      <c r="L18" s="0" t="s">
        <v>137</v>
      </c>
    </row>
    <row r="19" customFormat="false" ht="43.5" hidden="false" customHeight="true" outlineLevel="0" collapsed="false">
      <c r="A19" s="9" t="n">
        <v>17</v>
      </c>
      <c r="B19" s="9" t="s">
        <v>138</v>
      </c>
      <c r="C19" s="10" t="s">
        <v>75</v>
      </c>
      <c r="D19" s="10" t="s">
        <v>139</v>
      </c>
      <c r="E19" s="9" t="s">
        <v>140</v>
      </c>
      <c r="F19" s="10" t="s">
        <v>34</v>
      </c>
      <c r="G19" s="10" t="s">
        <v>141</v>
      </c>
      <c r="H19" s="11" t="s">
        <v>36</v>
      </c>
      <c r="I19" s="11" t="s">
        <v>140</v>
      </c>
      <c r="J19" s="11"/>
      <c r="K19" s="13" t="s">
        <v>142</v>
      </c>
      <c r="L19" s="0" t="s">
        <v>143</v>
      </c>
    </row>
    <row r="20" customFormat="false" ht="43.5" hidden="false" customHeight="true" outlineLevel="0" collapsed="false">
      <c r="A20" s="9" t="n">
        <v>18</v>
      </c>
      <c r="B20" s="9" t="s">
        <v>138</v>
      </c>
      <c r="C20" s="10" t="s">
        <v>75</v>
      </c>
      <c r="D20" s="10" t="s">
        <v>144</v>
      </c>
      <c r="E20" s="9" t="s">
        <v>145</v>
      </c>
      <c r="F20" s="10" t="s">
        <v>34</v>
      </c>
      <c r="G20" s="10" t="s">
        <v>146</v>
      </c>
      <c r="H20" s="11" t="s">
        <v>36</v>
      </c>
      <c r="I20" s="12" t="s">
        <v>147</v>
      </c>
      <c r="J20" s="11"/>
      <c r="K20" s="13" t="s">
        <v>148</v>
      </c>
      <c r="L20" s="0" t="s">
        <v>149</v>
      </c>
    </row>
    <row r="21" customFormat="false" ht="43.5" hidden="false" customHeight="true" outlineLevel="0" collapsed="false">
      <c r="A21" s="9" t="n">
        <v>19</v>
      </c>
      <c r="B21" s="9" t="s">
        <v>150</v>
      </c>
      <c r="C21" s="10" t="s">
        <v>75</v>
      </c>
      <c r="D21" s="10" t="s">
        <v>151</v>
      </c>
      <c r="E21" s="10" t="s">
        <v>152</v>
      </c>
      <c r="F21" s="10" t="s">
        <v>34</v>
      </c>
      <c r="G21" s="10" t="s">
        <v>153</v>
      </c>
      <c r="H21" s="11" t="s">
        <v>36</v>
      </c>
      <c r="I21" s="12" t="s">
        <v>154</v>
      </c>
      <c r="J21" s="11"/>
      <c r="K21" s="13" t="s">
        <v>155</v>
      </c>
      <c r="L21" s="0" t="s">
        <v>156</v>
      </c>
    </row>
    <row r="22" customFormat="false" ht="43.5" hidden="false" customHeight="true" outlineLevel="0" collapsed="false">
      <c r="A22" s="9" t="n">
        <v>20</v>
      </c>
      <c r="B22" s="9" t="s">
        <v>157</v>
      </c>
      <c r="C22" s="10" t="s">
        <v>158</v>
      </c>
      <c r="D22" s="10" t="s">
        <v>159</v>
      </c>
      <c r="E22" s="10" t="s">
        <v>158</v>
      </c>
      <c r="F22" s="10" t="s">
        <v>160</v>
      </c>
      <c r="G22" s="10" t="s">
        <v>161</v>
      </c>
      <c r="H22" s="11" t="s">
        <v>36</v>
      </c>
      <c r="I22" s="12" t="s">
        <v>158</v>
      </c>
      <c r="J22" s="12" t="s">
        <v>162</v>
      </c>
      <c r="K22" s="13" t="s">
        <v>163</v>
      </c>
      <c r="L22" s="0" t="s">
        <v>164</v>
      </c>
    </row>
    <row r="24" customFormat="false" ht="15" hidden="false" customHeight="true" outlineLevel="0" collapsed="false">
      <c r="A24" s="14" t="s">
        <v>165</v>
      </c>
    </row>
    <row r="25" customFormat="false" ht="15" hidden="false" customHeight="true" outlineLevel="0" collapsed="false">
      <c r="H25" s="15" t="s">
        <v>36</v>
      </c>
      <c r="I25" s="16" t="s">
        <v>166</v>
      </c>
      <c r="J25" s="15"/>
    </row>
  </sheetData>
  <autoFilter ref="A2:J22"/>
  <conditionalFormatting sqref="H3:H22">
    <cfRule type="cellIs" priority="2" operator="equal" aboveAverage="0" equalAverage="0" bottom="0" percent="0" rank="0" text="" dxfId="5">
      <formula>"OK"</formula>
    </cfRule>
    <cfRule type="cellIs" priority="3" operator="equal" aboveAverage="0" equalAverage="0" bottom="0" percent="0" rank="0" text="" dxfId="6">
      <formula>"部分"</formula>
    </cfRule>
    <cfRule type="cellIs" priority="4" operator="equal" aboveAverage="0" equalAverage="0" bottom="0" percent="0" rank="0" text="" dxfId="7">
      <formula>"NG"</formula>
    </cfRule>
  </conditionalFormatting>
  <dataValidations count="1">
    <dataValidation allowBlank="true" errorStyle="stop" operator="between" showDropDown="false" showErrorMessage="false" showInputMessage="false" sqref="H3:H22" type="list">
      <formula1>"OK,部分,NG"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0"/>
    <col collapsed="false" customWidth="true" hidden="false" outlineLevel="0" max="3" min="3" style="1" width="14"/>
    <col collapsed="false" customWidth="true" hidden="false" outlineLevel="0" max="5" min="4" style="1" width="46"/>
    <col collapsed="false" customWidth="true" hidden="false" outlineLevel="0" max="6" min="6" style="1" width="30"/>
    <col collapsed="false" customWidth="true" hidden="false" outlineLevel="0" max="7" min="7" style="1" width="28"/>
    <col collapsed="false" customWidth="true" hidden="false" outlineLevel="0" max="8" min="8" style="1" width="8"/>
    <col collapsed="false" customWidth="true" hidden="false" outlineLevel="0" max="9" min="9" style="1" width="40"/>
    <col collapsed="false" customWidth="true" hidden="false" outlineLevel="0" max="10" min="10" style="1" width="24"/>
    <col collapsed="false" customWidth="true" hidden="false" outlineLevel="0" max="11" min="11" style="0" width="80"/>
    <col collapsed="false" customWidth="true" hidden="false" outlineLevel="0" max="12" min="12" style="0" width="10"/>
  </cols>
  <sheetData>
    <row r="1" customFormat="false" ht="18.75" hidden="false" customHeight="true" outlineLevel="0" collapsed="false">
      <c r="A1" s="4" t="s">
        <v>167</v>
      </c>
    </row>
    <row r="2" customFormat="false" ht="29.25" hidden="false" customHeight="true" outlineLevel="0" collapsed="false">
      <c r="A2" s="6" t="s">
        <v>18</v>
      </c>
      <c r="B2" s="7" t="s">
        <v>19</v>
      </c>
      <c r="C2" s="7" t="s">
        <v>20</v>
      </c>
      <c r="D2" s="7" t="s">
        <v>21</v>
      </c>
      <c r="E2" s="7" t="s">
        <v>22</v>
      </c>
      <c r="F2" s="7" t="s">
        <v>23</v>
      </c>
      <c r="G2" s="7" t="s">
        <v>24</v>
      </c>
      <c r="H2" s="7" t="s">
        <v>25</v>
      </c>
      <c r="I2" s="6" t="s">
        <v>26</v>
      </c>
      <c r="J2" s="7" t="s">
        <v>27</v>
      </c>
      <c r="K2" s="0" t="s">
        <v>28</v>
      </c>
      <c r="L2" s="8" t="s">
        <v>29</v>
      </c>
    </row>
    <row r="3" customFormat="false" ht="43.5" hidden="false" customHeight="true" outlineLevel="0" collapsed="false">
      <c r="A3" s="9" t="n">
        <v>1</v>
      </c>
      <c r="B3" s="9" t="s">
        <v>30</v>
      </c>
      <c r="C3" s="10" t="s">
        <v>168</v>
      </c>
      <c r="D3" s="9" t="s">
        <v>169</v>
      </c>
      <c r="E3" s="10" t="s">
        <v>170</v>
      </c>
      <c r="F3" s="10" t="s">
        <v>34</v>
      </c>
      <c r="G3" s="10" t="s">
        <v>171</v>
      </c>
      <c r="H3" s="11" t="s">
        <v>36</v>
      </c>
      <c r="I3" s="12" t="s">
        <v>172</v>
      </c>
      <c r="J3" s="11"/>
      <c r="K3" s="17" t="s">
        <v>173</v>
      </c>
      <c r="L3" s="0" t="s">
        <v>174</v>
      </c>
    </row>
    <row r="4" customFormat="false" ht="41.25" hidden="false" customHeight="true" outlineLevel="0" collapsed="false">
      <c r="A4" s="9" t="n">
        <v>2</v>
      </c>
      <c r="B4" s="9" t="s">
        <v>30</v>
      </c>
      <c r="C4" s="10" t="s">
        <v>66</v>
      </c>
      <c r="D4" s="10" t="s">
        <v>175</v>
      </c>
      <c r="E4" s="10" t="s">
        <v>176</v>
      </c>
      <c r="F4" s="10" t="s">
        <v>177</v>
      </c>
      <c r="G4" s="10" t="s">
        <v>178</v>
      </c>
      <c r="H4" s="11" t="s">
        <v>36</v>
      </c>
      <c r="I4" s="12" t="s">
        <v>179</v>
      </c>
      <c r="J4" s="11" t="s">
        <v>180</v>
      </c>
      <c r="K4" s="13" t="s">
        <v>181</v>
      </c>
      <c r="L4" s="0" t="s">
        <v>182</v>
      </c>
    </row>
    <row r="5" customFormat="false" ht="43.5" hidden="false" customHeight="true" outlineLevel="0" collapsed="false">
      <c r="A5" s="9" t="n">
        <v>3</v>
      </c>
      <c r="B5" s="9" t="s">
        <v>45</v>
      </c>
      <c r="C5" s="10" t="s">
        <v>46</v>
      </c>
      <c r="D5" s="10" t="s">
        <v>183</v>
      </c>
      <c r="E5" s="9" t="s">
        <v>184</v>
      </c>
      <c r="F5" s="10" t="s">
        <v>34</v>
      </c>
      <c r="G5" s="10" t="s">
        <v>185</v>
      </c>
      <c r="H5" s="11" t="s">
        <v>36</v>
      </c>
      <c r="I5" s="11" t="s">
        <v>186</v>
      </c>
      <c r="J5" s="11"/>
      <c r="K5" s="13" t="s">
        <v>187</v>
      </c>
      <c r="L5" s="0" t="s">
        <v>188</v>
      </c>
    </row>
    <row r="6" customFormat="false" ht="43.5" hidden="false" customHeight="true" outlineLevel="0" collapsed="false">
      <c r="A6" s="9" t="n">
        <v>4</v>
      </c>
      <c r="B6" s="9" t="s">
        <v>45</v>
      </c>
      <c r="C6" s="10" t="s">
        <v>46</v>
      </c>
      <c r="D6" s="10" t="s">
        <v>189</v>
      </c>
      <c r="E6" s="9" t="s">
        <v>190</v>
      </c>
      <c r="F6" s="10" t="s">
        <v>34</v>
      </c>
      <c r="G6" s="10" t="s">
        <v>191</v>
      </c>
      <c r="H6" s="11" t="s">
        <v>36</v>
      </c>
      <c r="I6" s="11" t="s">
        <v>190</v>
      </c>
      <c r="J6" s="11"/>
      <c r="K6" s="13" t="s">
        <v>192</v>
      </c>
      <c r="L6" s="0" t="s">
        <v>193</v>
      </c>
    </row>
    <row r="7" customFormat="false" ht="43.5" hidden="false" customHeight="true" outlineLevel="0" collapsed="false">
      <c r="A7" s="9" t="n">
        <v>5</v>
      </c>
      <c r="B7" s="9" t="s">
        <v>45</v>
      </c>
      <c r="C7" s="10" t="s">
        <v>100</v>
      </c>
      <c r="D7" s="10" t="s">
        <v>194</v>
      </c>
      <c r="E7" s="9" t="s">
        <v>195</v>
      </c>
      <c r="F7" s="10" t="s">
        <v>103</v>
      </c>
      <c r="G7" s="10" t="s">
        <v>196</v>
      </c>
      <c r="H7" s="11" t="s">
        <v>36</v>
      </c>
      <c r="I7" s="11" t="s">
        <v>197</v>
      </c>
      <c r="J7" s="11"/>
      <c r="K7" s="17" t="s">
        <v>198</v>
      </c>
      <c r="L7" s="0" t="s">
        <v>199</v>
      </c>
    </row>
    <row r="8" customFormat="false" ht="43.5" hidden="false" customHeight="true" outlineLevel="0" collapsed="false">
      <c r="A8" s="9" t="n">
        <v>6</v>
      </c>
      <c r="B8" s="9" t="s">
        <v>65</v>
      </c>
      <c r="C8" s="10" t="s">
        <v>114</v>
      </c>
      <c r="D8" s="10" t="s">
        <v>200</v>
      </c>
      <c r="E8" s="10" t="s">
        <v>201</v>
      </c>
      <c r="F8" s="10" t="s">
        <v>34</v>
      </c>
      <c r="G8" s="10" t="s">
        <v>202</v>
      </c>
      <c r="H8" s="11" t="s">
        <v>36</v>
      </c>
      <c r="I8" s="12" t="s">
        <v>201</v>
      </c>
      <c r="J8" s="11"/>
      <c r="K8" s="13" t="s">
        <v>203</v>
      </c>
      <c r="L8" s="0" t="s">
        <v>204</v>
      </c>
    </row>
    <row r="9" customFormat="false" ht="43.5" hidden="false" customHeight="true" outlineLevel="0" collapsed="false">
      <c r="A9" s="9" t="n">
        <v>7</v>
      </c>
      <c r="B9" s="9" t="s">
        <v>65</v>
      </c>
      <c r="C9" s="10" t="s">
        <v>114</v>
      </c>
      <c r="D9" s="10" t="s">
        <v>205</v>
      </c>
      <c r="E9" s="10" t="s">
        <v>206</v>
      </c>
      <c r="F9" s="10" t="s">
        <v>34</v>
      </c>
      <c r="G9" s="10" t="s">
        <v>207</v>
      </c>
      <c r="H9" s="11" t="s">
        <v>36</v>
      </c>
      <c r="I9" s="12" t="s">
        <v>206</v>
      </c>
      <c r="J9" s="11"/>
      <c r="K9" s="13" t="s">
        <v>208</v>
      </c>
      <c r="L9" s="0" t="s">
        <v>209</v>
      </c>
    </row>
    <row r="10" customFormat="false" ht="43.5" hidden="false" customHeight="true" outlineLevel="0" collapsed="false">
      <c r="A10" s="9" t="n">
        <v>8</v>
      </c>
      <c r="B10" s="9" t="s">
        <v>82</v>
      </c>
      <c r="C10" s="10" t="s">
        <v>46</v>
      </c>
      <c r="D10" s="10" t="s">
        <v>210</v>
      </c>
      <c r="E10" s="9" t="s">
        <v>211</v>
      </c>
      <c r="F10" s="10" t="s">
        <v>34</v>
      </c>
      <c r="G10" s="10" t="s">
        <v>212</v>
      </c>
      <c r="H10" s="11" t="s">
        <v>36</v>
      </c>
      <c r="I10" s="11" t="s">
        <v>213</v>
      </c>
      <c r="J10" s="11"/>
      <c r="K10" s="13" t="s">
        <v>214</v>
      </c>
      <c r="L10" s="0" t="s">
        <v>215</v>
      </c>
    </row>
    <row r="11" customFormat="false" ht="43.5" hidden="false" customHeight="true" outlineLevel="0" collapsed="false">
      <c r="A11" s="9" t="n">
        <v>9</v>
      </c>
      <c r="B11" s="9" t="s">
        <v>82</v>
      </c>
      <c r="C11" s="10" t="s">
        <v>46</v>
      </c>
      <c r="D11" s="10" t="s">
        <v>216</v>
      </c>
      <c r="E11" s="9" t="s">
        <v>217</v>
      </c>
      <c r="F11" s="10" t="s">
        <v>34</v>
      </c>
      <c r="G11" s="10" t="s">
        <v>218</v>
      </c>
      <c r="H11" s="11" t="s">
        <v>36</v>
      </c>
      <c r="I11" s="11" t="s">
        <v>217</v>
      </c>
      <c r="J11" s="11"/>
      <c r="K11" s="13" t="s">
        <v>219</v>
      </c>
      <c r="L11" s="0" t="s">
        <v>220</v>
      </c>
    </row>
    <row r="12" customFormat="false" ht="43.5" hidden="false" customHeight="true" outlineLevel="0" collapsed="false">
      <c r="A12" s="9" t="n">
        <v>10</v>
      </c>
      <c r="B12" s="9" t="s">
        <v>93</v>
      </c>
      <c r="C12" s="10" t="s">
        <v>66</v>
      </c>
      <c r="D12" s="10" t="s">
        <v>221</v>
      </c>
      <c r="E12" s="10" t="s">
        <v>222</v>
      </c>
      <c r="F12" s="10" t="s">
        <v>34</v>
      </c>
      <c r="G12" s="10" t="s">
        <v>223</v>
      </c>
      <c r="H12" s="11" t="s">
        <v>36</v>
      </c>
      <c r="I12" s="12" t="s">
        <v>222</v>
      </c>
      <c r="J12" s="11"/>
      <c r="K12" s="13" t="s">
        <v>224</v>
      </c>
      <c r="L12" s="0" t="s">
        <v>225</v>
      </c>
    </row>
    <row r="13" customFormat="false" ht="43.5" hidden="false" customHeight="true" outlineLevel="0" collapsed="false">
      <c r="A13" s="9" t="n">
        <v>11</v>
      </c>
      <c r="B13" s="9" t="s">
        <v>93</v>
      </c>
      <c r="C13" s="10" t="s">
        <v>66</v>
      </c>
      <c r="D13" s="10" t="s">
        <v>226</v>
      </c>
      <c r="E13" s="10" t="s">
        <v>227</v>
      </c>
      <c r="F13" s="10" t="s">
        <v>34</v>
      </c>
      <c r="G13" s="10" t="s">
        <v>228</v>
      </c>
      <c r="H13" s="11" t="s">
        <v>36</v>
      </c>
      <c r="I13" s="12" t="s">
        <v>229</v>
      </c>
      <c r="J13" s="11"/>
      <c r="K13" s="13" t="s">
        <v>230</v>
      </c>
      <c r="L13" s="0" t="s">
        <v>231</v>
      </c>
    </row>
    <row r="14" customFormat="false" ht="43.5" hidden="false" customHeight="true" outlineLevel="0" collapsed="false">
      <c r="A14" s="9" t="n">
        <v>12</v>
      </c>
      <c r="B14" s="9" t="s">
        <v>93</v>
      </c>
      <c r="C14" s="10" t="s">
        <v>66</v>
      </c>
      <c r="D14" s="10" t="s">
        <v>232</v>
      </c>
      <c r="E14" s="9" t="s">
        <v>233</v>
      </c>
      <c r="F14" s="10" t="s">
        <v>34</v>
      </c>
      <c r="G14" s="10" t="s">
        <v>234</v>
      </c>
      <c r="H14" s="11" t="s">
        <v>36</v>
      </c>
      <c r="I14" s="11" t="s">
        <v>235</v>
      </c>
      <c r="J14" s="11"/>
      <c r="K14" s="13" t="s">
        <v>236</v>
      </c>
      <c r="L14" s="0" t="s">
        <v>237</v>
      </c>
    </row>
    <row r="15" customFormat="false" ht="43.5" hidden="false" customHeight="true" outlineLevel="0" collapsed="false">
      <c r="A15" s="9" t="n">
        <v>13</v>
      </c>
      <c r="B15" s="9" t="s">
        <v>113</v>
      </c>
      <c r="C15" s="10" t="s">
        <v>31</v>
      </c>
      <c r="D15" s="10" t="s">
        <v>238</v>
      </c>
      <c r="E15" s="9" t="s">
        <v>239</v>
      </c>
      <c r="F15" s="10" t="s">
        <v>34</v>
      </c>
      <c r="G15" s="10" t="s">
        <v>240</v>
      </c>
      <c r="H15" s="11" t="s">
        <v>36</v>
      </c>
      <c r="I15" s="11" t="s">
        <v>241</v>
      </c>
      <c r="J15" s="11"/>
      <c r="K15" s="13" t="s">
        <v>242</v>
      </c>
      <c r="L15" s="0" t="s">
        <v>243</v>
      </c>
    </row>
    <row r="16" customFormat="false" ht="43.5" hidden="false" customHeight="true" outlineLevel="0" collapsed="false">
      <c r="A16" s="9" t="n">
        <v>14</v>
      </c>
      <c r="B16" s="9" t="s">
        <v>113</v>
      </c>
      <c r="C16" s="10" t="s">
        <v>100</v>
      </c>
      <c r="D16" s="10" t="s">
        <v>244</v>
      </c>
      <c r="E16" s="9" t="s">
        <v>245</v>
      </c>
      <c r="F16" s="10" t="s">
        <v>103</v>
      </c>
      <c r="G16" s="10" t="s">
        <v>246</v>
      </c>
      <c r="H16" s="11" t="s">
        <v>36</v>
      </c>
      <c r="I16" s="12" t="s">
        <v>247</v>
      </c>
      <c r="J16" s="11"/>
      <c r="K16" s="13" t="s">
        <v>248</v>
      </c>
      <c r="L16" s="0" t="s">
        <v>249</v>
      </c>
    </row>
    <row r="17" customFormat="false" ht="43.5" hidden="false" customHeight="true" outlineLevel="0" collapsed="false">
      <c r="A17" s="9" t="n">
        <v>15</v>
      </c>
      <c r="B17" s="9" t="s">
        <v>113</v>
      </c>
      <c r="C17" s="10" t="s">
        <v>66</v>
      </c>
      <c r="D17" s="10" t="s">
        <v>250</v>
      </c>
      <c r="E17" s="10" t="s">
        <v>251</v>
      </c>
      <c r="F17" s="10" t="s">
        <v>34</v>
      </c>
      <c r="G17" s="10" t="s">
        <v>252</v>
      </c>
      <c r="H17" s="11" t="s">
        <v>36</v>
      </c>
      <c r="I17" s="12" t="s">
        <v>253</v>
      </c>
      <c r="J17" s="11"/>
      <c r="K17" s="13" t="s">
        <v>254</v>
      </c>
      <c r="L17" s="0" t="s">
        <v>255</v>
      </c>
    </row>
    <row r="18" customFormat="false" ht="43.5" hidden="false" customHeight="true" outlineLevel="0" collapsed="false">
      <c r="A18" s="9" t="n">
        <v>16</v>
      </c>
      <c r="B18" s="9" t="s">
        <v>126</v>
      </c>
      <c r="C18" s="10" t="s">
        <v>114</v>
      </c>
      <c r="D18" s="10" t="s">
        <v>256</v>
      </c>
      <c r="E18" s="10" t="s">
        <v>257</v>
      </c>
      <c r="F18" s="10" t="s">
        <v>34</v>
      </c>
      <c r="G18" s="10" t="s">
        <v>258</v>
      </c>
      <c r="H18" s="11" t="s">
        <v>36</v>
      </c>
      <c r="I18" s="12" t="s">
        <v>257</v>
      </c>
      <c r="J18" s="11"/>
      <c r="K18" s="13" t="s">
        <v>259</v>
      </c>
      <c r="L18" s="0" t="s">
        <v>260</v>
      </c>
    </row>
    <row r="19" customFormat="false" ht="43.5" hidden="false" customHeight="true" outlineLevel="0" collapsed="false">
      <c r="A19" s="9" t="n">
        <v>17</v>
      </c>
      <c r="B19" s="9" t="s">
        <v>138</v>
      </c>
      <c r="C19" s="10" t="s">
        <v>31</v>
      </c>
      <c r="D19" s="10" t="s">
        <v>261</v>
      </c>
      <c r="E19" s="9" t="s">
        <v>262</v>
      </c>
      <c r="F19" s="10" t="s">
        <v>34</v>
      </c>
      <c r="G19" s="10" t="s">
        <v>263</v>
      </c>
      <c r="H19" s="11" t="s">
        <v>36</v>
      </c>
      <c r="I19" s="11" t="s">
        <v>262</v>
      </c>
      <c r="J19" s="11"/>
      <c r="K19" s="13" t="s">
        <v>264</v>
      </c>
      <c r="L19" s="0" t="s">
        <v>265</v>
      </c>
    </row>
    <row r="20" customFormat="false" ht="43.5" hidden="false" customHeight="true" outlineLevel="0" collapsed="false">
      <c r="A20" s="9" t="n">
        <v>18</v>
      </c>
      <c r="B20" s="9" t="s">
        <v>138</v>
      </c>
      <c r="C20" s="10" t="s">
        <v>46</v>
      </c>
      <c r="D20" s="10" t="s">
        <v>266</v>
      </c>
      <c r="E20" s="10" t="s">
        <v>267</v>
      </c>
      <c r="F20" s="10" t="s">
        <v>34</v>
      </c>
      <c r="G20" s="10" t="s">
        <v>268</v>
      </c>
      <c r="H20" s="11" t="s">
        <v>36</v>
      </c>
      <c r="I20" s="12" t="s">
        <v>269</v>
      </c>
      <c r="J20" s="11"/>
      <c r="K20" s="13" t="s">
        <v>270</v>
      </c>
      <c r="L20" s="0" t="s">
        <v>271</v>
      </c>
    </row>
    <row r="21" customFormat="false" ht="43.5" hidden="false" customHeight="true" outlineLevel="0" collapsed="false">
      <c r="A21" s="9" t="n">
        <v>19</v>
      </c>
      <c r="B21" s="9" t="s">
        <v>150</v>
      </c>
      <c r="C21" s="10" t="s">
        <v>94</v>
      </c>
      <c r="D21" s="10" t="s">
        <v>272</v>
      </c>
      <c r="E21" s="10" t="s">
        <v>273</v>
      </c>
      <c r="F21" s="10" t="s">
        <v>34</v>
      </c>
      <c r="G21" s="10" t="s">
        <v>274</v>
      </c>
      <c r="H21" s="11" t="s">
        <v>36</v>
      </c>
      <c r="I21" s="12" t="s">
        <v>275</v>
      </c>
      <c r="J21" s="11"/>
      <c r="K21" s="13" t="s">
        <v>276</v>
      </c>
      <c r="L21" s="0" t="s">
        <v>277</v>
      </c>
    </row>
    <row r="22" customFormat="false" ht="43.5" hidden="false" customHeight="true" outlineLevel="0" collapsed="false">
      <c r="A22" s="9" t="n">
        <v>20</v>
      </c>
      <c r="B22" s="9" t="s">
        <v>150</v>
      </c>
      <c r="C22" s="10" t="s">
        <v>75</v>
      </c>
      <c r="D22" s="10" t="s">
        <v>278</v>
      </c>
      <c r="E22" s="9" t="s">
        <v>279</v>
      </c>
      <c r="F22" s="10" t="s">
        <v>34</v>
      </c>
      <c r="G22" s="10" t="s">
        <v>153</v>
      </c>
      <c r="H22" s="11" t="s">
        <v>36</v>
      </c>
      <c r="I22" s="11" t="s">
        <v>279</v>
      </c>
      <c r="J22" s="11"/>
      <c r="K22" s="17" t="s">
        <v>280</v>
      </c>
      <c r="L22" s="0" t="s">
        <v>281</v>
      </c>
    </row>
    <row r="24" customFormat="false" ht="15" hidden="false" customHeight="true" outlineLevel="0" collapsed="false">
      <c r="A24" s="14" t="s">
        <v>165</v>
      </c>
    </row>
    <row r="25" customFormat="false" ht="15" hidden="false" customHeight="true" outlineLevel="0" collapsed="false">
      <c r="H25" s="15" t="s">
        <v>36</v>
      </c>
      <c r="I25" s="16" t="s">
        <v>166</v>
      </c>
      <c r="J25" s="15"/>
    </row>
  </sheetData>
  <autoFilter ref="A2:J22"/>
  <conditionalFormatting sqref="H3:H22">
    <cfRule type="cellIs" priority="2" operator="equal" aboveAverage="0" equalAverage="0" bottom="0" percent="0" rank="0" text="" dxfId="5">
      <formula>"OK"</formula>
    </cfRule>
    <cfRule type="cellIs" priority="3" operator="equal" aboveAverage="0" equalAverage="0" bottom="0" percent="0" rank="0" text="" dxfId="6">
      <formula>"部分"</formula>
    </cfRule>
    <cfRule type="cellIs" priority="4" operator="equal" aboveAverage="0" equalAverage="0" bottom="0" percent="0" rank="0" text="" dxfId="7">
      <formula>"NG"</formula>
    </cfRule>
  </conditionalFormatting>
  <dataValidations count="1">
    <dataValidation allowBlank="true" errorStyle="stop" operator="between" showDropDown="false" showErrorMessage="false" showInputMessage="false" sqref="H3:H22" type="list">
      <formula1>"OK,部分,NG"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0"/>
    <col collapsed="false" customWidth="true" hidden="false" outlineLevel="0" max="3" min="3" style="1" width="14"/>
    <col collapsed="false" customWidth="true" hidden="false" outlineLevel="0" max="5" min="4" style="1" width="46"/>
    <col collapsed="false" customWidth="true" hidden="false" outlineLevel="0" max="6" min="6" style="1" width="30"/>
    <col collapsed="false" customWidth="true" hidden="false" outlineLevel="0" max="7" min="7" style="1" width="28"/>
    <col collapsed="false" customWidth="true" hidden="false" outlineLevel="0" max="8" min="8" style="1" width="8"/>
    <col collapsed="false" customWidth="true" hidden="false" outlineLevel="0" max="9" min="9" style="1" width="40"/>
    <col collapsed="false" customWidth="true" hidden="false" outlineLevel="0" max="10" min="10" style="1" width="24"/>
    <col collapsed="false" customWidth="true" hidden="false" outlineLevel="0" max="11" min="11" style="0" width="80"/>
    <col collapsed="false" customWidth="true" hidden="false" outlineLevel="0" max="12" min="12" style="0" width="10"/>
  </cols>
  <sheetData>
    <row r="1" customFormat="false" ht="18.75" hidden="false" customHeight="true" outlineLevel="0" collapsed="false">
      <c r="A1" s="4" t="s">
        <v>282</v>
      </c>
    </row>
    <row r="2" customFormat="false" ht="29.25" hidden="false" customHeight="true" outlineLevel="0" collapsed="false">
      <c r="A2" s="6" t="s">
        <v>18</v>
      </c>
      <c r="B2" s="7" t="s">
        <v>19</v>
      </c>
      <c r="C2" s="7" t="s">
        <v>20</v>
      </c>
      <c r="D2" s="7" t="s">
        <v>21</v>
      </c>
      <c r="E2" s="7" t="s">
        <v>22</v>
      </c>
      <c r="F2" s="7" t="s">
        <v>23</v>
      </c>
      <c r="G2" s="7" t="s">
        <v>24</v>
      </c>
      <c r="H2" s="7" t="s">
        <v>25</v>
      </c>
      <c r="I2" s="6" t="s">
        <v>26</v>
      </c>
      <c r="J2" s="7" t="s">
        <v>27</v>
      </c>
      <c r="K2" s="0" t="s">
        <v>28</v>
      </c>
      <c r="L2" s="8" t="s">
        <v>29</v>
      </c>
    </row>
    <row r="3" customFormat="false" ht="43.5" hidden="false" customHeight="true" outlineLevel="0" collapsed="false">
      <c r="A3" s="9" t="n">
        <v>1</v>
      </c>
      <c r="B3" s="10" t="s">
        <v>283</v>
      </c>
      <c r="C3" s="10" t="s">
        <v>66</v>
      </c>
      <c r="D3" s="10" t="s">
        <v>284</v>
      </c>
      <c r="E3" s="10" t="s">
        <v>285</v>
      </c>
      <c r="F3" s="10" t="s">
        <v>34</v>
      </c>
      <c r="G3" s="10" t="s">
        <v>286</v>
      </c>
      <c r="H3" s="11" t="s">
        <v>36</v>
      </c>
      <c r="I3" s="12" t="s">
        <v>287</v>
      </c>
      <c r="J3" s="11"/>
      <c r="K3" s="13" t="s">
        <v>288</v>
      </c>
      <c r="L3" s="0" t="s">
        <v>289</v>
      </c>
    </row>
    <row r="4" customFormat="false" ht="43.5" hidden="false" customHeight="true" outlineLevel="0" collapsed="false">
      <c r="A4" s="9" t="n">
        <v>2</v>
      </c>
      <c r="B4" s="9" t="s">
        <v>30</v>
      </c>
      <c r="C4" s="10" t="s">
        <v>114</v>
      </c>
      <c r="D4" s="10" t="s">
        <v>290</v>
      </c>
      <c r="E4" s="9" t="s">
        <v>291</v>
      </c>
      <c r="F4" s="10" t="s">
        <v>34</v>
      </c>
      <c r="G4" s="10" t="s">
        <v>292</v>
      </c>
      <c r="H4" s="11" t="s">
        <v>36</v>
      </c>
      <c r="I4" s="11" t="s">
        <v>291</v>
      </c>
      <c r="J4" s="11"/>
      <c r="K4" s="13" t="s">
        <v>293</v>
      </c>
      <c r="L4" s="0" t="s">
        <v>294</v>
      </c>
    </row>
    <row r="5" customFormat="false" ht="43.5" hidden="false" customHeight="true" outlineLevel="0" collapsed="false">
      <c r="A5" s="9" t="n">
        <v>3</v>
      </c>
      <c r="B5" s="9" t="s">
        <v>30</v>
      </c>
      <c r="C5" s="10" t="s">
        <v>100</v>
      </c>
      <c r="D5" s="10" t="s">
        <v>295</v>
      </c>
      <c r="E5" s="9" t="s">
        <v>296</v>
      </c>
      <c r="F5" s="10" t="s">
        <v>103</v>
      </c>
      <c r="G5" s="10" t="s">
        <v>297</v>
      </c>
      <c r="H5" s="11" t="s">
        <v>36</v>
      </c>
      <c r="I5" s="11" t="s">
        <v>298</v>
      </c>
      <c r="J5" s="11"/>
      <c r="K5" s="13" t="s">
        <v>299</v>
      </c>
      <c r="L5" s="0" t="s">
        <v>300</v>
      </c>
    </row>
    <row r="6" customFormat="false" ht="43.5" hidden="false" customHeight="true" outlineLevel="0" collapsed="false">
      <c r="A6" s="9" t="n">
        <v>4</v>
      </c>
      <c r="B6" s="9" t="s">
        <v>30</v>
      </c>
      <c r="C6" s="10" t="s">
        <v>114</v>
      </c>
      <c r="D6" s="10" t="s">
        <v>301</v>
      </c>
      <c r="E6" s="9" t="s">
        <v>302</v>
      </c>
      <c r="F6" s="10" t="s">
        <v>34</v>
      </c>
      <c r="G6" s="10" t="s">
        <v>303</v>
      </c>
      <c r="H6" s="11" t="s">
        <v>36</v>
      </c>
      <c r="I6" s="11" t="s">
        <v>302</v>
      </c>
      <c r="J6" s="11"/>
      <c r="K6" s="13" t="s">
        <v>304</v>
      </c>
      <c r="L6" s="0" t="s">
        <v>305</v>
      </c>
    </row>
    <row r="7" customFormat="false" ht="43.5" hidden="false" customHeight="true" outlineLevel="0" collapsed="false">
      <c r="A7" s="9" t="n">
        <v>5</v>
      </c>
      <c r="B7" s="9" t="s">
        <v>45</v>
      </c>
      <c r="C7" s="10" t="s">
        <v>46</v>
      </c>
      <c r="D7" s="9" t="s">
        <v>306</v>
      </c>
      <c r="E7" s="10" t="s">
        <v>307</v>
      </c>
      <c r="F7" s="10" t="s">
        <v>34</v>
      </c>
      <c r="G7" s="10" t="s">
        <v>308</v>
      </c>
      <c r="H7" s="11" t="s">
        <v>36</v>
      </c>
      <c r="I7" s="12" t="s">
        <v>309</v>
      </c>
      <c r="J7" s="11"/>
      <c r="K7" s="17" t="s">
        <v>310</v>
      </c>
      <c r="L7" s="0" t="s">
        <v>311</v>
      </c>
    </row>
    <row r="8" customFormat="false" ht="43.5" hidden="false" customHeight="true" outlineLevel="0" collapsed="false">
      <c r="A8" s="9" t="n">
        <v>6</v>
      </c>
      <c r="B8" s="9" t="s">
        <v>45</v>
      </c>
      <c r="C8" s="10" t="s">
        <v>114</v>
      </c>
      <c r="D8" s="10" t="s">
        <v>312</v>
      </c>
      <c r="E8" s="9" t="s">
        <v>313</v>
      </c>
      <c r="F8" s="10" t="s">
        <v>34</v>
      </c>
      <c r="G8" s="10" t="s">
        <v>314</v>
      </c>
      <c r="H8" s="11" t="s">
        <v>36</v>
      </c>
      <c r="I8" s="11" t="s">
        <v>315</v>
      </c>
      <c r="J8" s="11"/>
      <c r="K8" s="13" t="s">
        <v>316</v>
      </c>
      <c r="L8" s="0" t="s">
        <v>317</v>
      </c>
    </row>
    <row r="9" customFormat="false" ht="43.5" hidden="false" customHeight="true" outlineLevel="0" collapsed="false">
      <c r="A9" s="9" t="n">
        <v>7</v>
      </c>
      <c r="B9" s="9" t="s">
        <v>45</v>
      </c>
      <c r="C9" s="10" t="s">
        <v>100</v>
      </c>
      <c r="D9" s="9" t="s">
        <v>318</v>
      </c>
      <c r="E9" s="9" t="s">
        <v>319</v>
      </c>
      <c r="F9" s="10" t="s">
        <v>103</v>
      </c>
      <c r="G9" s="10" t="s">
        <v>320</v>
      </c>
      <c r="H9" s="11" t="s">
        <v>36</v>
      </c>
      <c r="I9" s="11" t="s">
        <v>321</v>
      </c>
      <c r="J9" s="11"/>
      <c r="K9" s="17" t="s">
        <v>322</v>
      </c>
      <c r="L9" s="0" t="s">
        <v>323</v>
      </c>
    </row>
    <row r="10" customFormat="false" ht="43.5" hidden="false" customHeight="true" outlineLevel="0" collapsed="false">
      <c r="A10" s="9" t="n">
        <v>8</v>
      </c>
      <c r="B10" s="9" t="s">
        <v>65</v>
      </c>
      <c r="C10" s="10" t="s">
        <v>46</v>
      </c>
      <c r="D10" s="9" t="s">
        <v>324</v>
      </c>
      <c r="E10" s="9" t="s">
        <v>325</v>
      </c>
      <c r="F10" s="10" t="s">
        <v>34</v>
      </c>
      <c r="G10" s="10" t="s">
        <v>326</v>
      </c>
      <c r="H10" s="11" t="s">
        <v>36</v>
      </c>
      <c r="I10" s="11" t="s">
        <v>327</v>
      </c>
      <c r="J10" s="11"/>
      <c r="K10" s="17" t="s">
        <v>328</v>
      </c>
      <c r="L10" s="0" t="s">
        <v>329</v>
      </c>
    </row>
    <row r="11" customFormat="false" ht="43.5" hidden="false" customHeight="true" outlineLevel="0" collapsed="false">
      <c r="A11" s="9" t="n">
        <v>9</v>
      </c>
      <c r="B11" s="9" t="s">
        <v>65</v>
      </c>
      <c r="C11" s="10" t="s">
        <v>114</v>
      </c>
      <c r="D11" s="10" t="s">
        <v>330</v>
      </c>
      <c r="E11" s="9" t="s">
        <v>331</v>
      </c>
      <c r="F11" s="10" t="s">
        <v>34</v>
      </c>
      <c r="G11" s="10" t="s">
        <v>332</v>
      </c>
      <c r="H11" s="11" t="s">
        <v>36</v>
      </c>
      <c r="I11" s="12" t="s">
        <v>333</v>
      </c>
      <c r="J11" s="12" t="s">
        <v>334</v>
      </c>
      <c r="K11" s="13" t="s">
        <v>335</v>
      </c>
      <c r="L11" s="0" t="s">
        <v>336</v>
      </c>
    </row>
    <row r="12" customFormat="false" ht="43.5" hidden="false" customHeight="true" outlineLevel="0" collapsed="false">
      <c r="A12" s="9" t="n">
        <v>10</v>
      </c>
      <c r="B12" s="9" t="s">
        <v>82</v>
      </c>
      <c r="C12" s="10" t="s">
        <v>94</v>
      </c>
      <c r="D12" s="9" t="s">
        <v>337</v>
      </c>
      <c r="E12" s="10" t="s">
        <v>338</v>
      </c>
      <c r="F12" s="10" t="s">
        <v>34</v>
      </c>
      <c r="G12" s="10" t="s">
        <v>339</v>
      </c>
      <c r="H12" s="11" t="s">
        <v>36</v>
      </c>
      <c r="I12" s="12" t="s">
        <v>338</v>
      </c>
      <c r="J12" s="11"/>
      <c r="K12" s="17" t="s">
        <v>340</v>
      </c>
      <c r="L12" s="0" t="s">
        <v>341</v>
      </c>
    </row>
    <row r="13" customFormat="false" ht="43.5" hidden="false" customHeight="true" outlineLevel="0" collapsed="false">
      <c r="A13" s="9" t="n">
        <v>11</v>
      </c>
      <c r="B13" s="9" t="s">
        <v>82</v>
      </c>
      <c r="C13" s="10" t="s">
        <v>100</v>
      </c>
      <c r="D13" s="10" t="s">
        <v>342</v>
      </c>
      <c r="E13" s="9" t="s">
        <v>343</v>
      </c>
      <c r="F13" s="10" t="s">
        <v>103</v>
      </c>
      <c r="G13" s="10" t="s">
        <v>344</v>
      </c>
      <c r="H13" s="11" t="s">
        <v>36</v>
      </c>
      <c r="I13" s="12" t="s">
        <v>345</v>
      </c>
      <c r="J13" s="11"/>
      <c r="K13" s="13" t="s">
        <v>346</v>
      </c>
      <c r="L13" s="0" t="s">
        <v>347</v>
      </c>
    </row>
    <row r="14" customFormat="false" ht="43.5" hidden="false" customHeight="true" outlineLevel="0" collapsed="false">
      <c r="A14" s="9" t="n">
        <v>12</v>
      </c>
      <c r="B14" s="9" t="s">
        <v>93</v>
      </c>
      <c r="C14" s="10" t="s">
        <v>46</v>
      </c>
      <c r="D14" s="10" t="s">
        <v>348</v>
      </c>
      <c r="E14" s="9" t="s">
        <v>349</v>
      </c>
      <c r="F14" s="10" t="s">
        <v>34</v>
      </c>
      <c r="G14" s="10" t="s">
        <v>350</v>
      </c>
      <c r="H14" s="11" t="s">
        <v>36</v>
      </c>
      <c r="I14" s="11" t="s">
        <v>349</v>
      </c>
      <c r="J14" s="11"/>
      <c r="K14" s="13" t="s">
        <v>351</v>
      </c>
      <c r="L14" s="0" t="s">
        <v>352</v>
      </c>
    </row>
    <row r="15" customFormat="false" ht="43.5" hidden="false" customHeight="true" outlineLevel="0" collapsed="false">
      <c r="A15" s="9" t="n">
        <v>13</v>
      </c>
      <c r="B15" s="9" t="s">
        <v>93</v>
      </c>
      <c r="C15" s="10" t="s">
        <v>46</v>
      </c>
      <c r="D15" s="10" t="s">
        <v>353</v>
      </c>
      <c r="E15" s="9" t="s">
        <v>354</v>
      </c>
      <c r="F15" s="10" t="s">
        <v>34</v>
      </c>
      <c r="G15" s="10" t="s">
        <v>355</v>
      </c>
      <c r="H15" s="11" t="s">
        <v>36</v>
      </c>
      <c r="I15" s="11" t="s">
        <v>354</v>
      </c>
      <c r="J15" s="11"/>
      <c r="K15" s="13" t="s">
        <v>356</v>
      </c>
      <c r="L15" s="0" t="s">
        <v>357</v>
      </c>
    </row>
    <row r="16" customFormat="false" ht="43.5" hidden="false" customHeight="true" outlineLevel="0" collapsed="false">
      <c r="A16" s="9" t="n">
        <v>14</v>
      </c>
      <c r="B16" s="9" t="s">
        <v>93</v>
      </c>
      <c r="C16" s="10" t="s">
        <v>31</v>
      </c>
      <c r="D16" s="10" t="s">
        <v>358</v>
      </c>
      <c r="E16" s="10" t="s">
        <v>359</v>
      </c>
      <c r="F16" s="10" t="s">
        <v>34</v>
      </c>
      <c r="G16" s="10" t="s">
        <v>360</v>
      </c>
      <c r="H16" s="11" t="s">
        <v>36</v>
      </c>
      <c r="I16" s="12" t="s">
        <v>359</v>
      </c>
      <c r="J16" s="11"/>
      <c r="K16" s="13" t="s">
        <v>361</v>
      </c>
      <c r="L16" s="0" t="s">
        <v>362</v>
      </c>
    </row>
    <row r="17" customFormat="false" ht="43.5" hidden="false" customHeight="true" outlineLevel="0" collapsed="false">
      <c r="A17" s="9" t="n">
        <v>15</v>
      </c>
      <c r="B17" s="9" t="s">
        <v>113</v>
      </c>
      <c r="C17" s="10" t="s">
        <v>66</v>
      </c>
      <c r="D17" s="10" t="s">
        <v>363</v>
      </c>
      <c r="E17" s="10" t="s">
        <v>364</v>
      </c>
      <c r="F17" s="10" t="s">
        <v>34</v>
      </c>
      <c r="G17" s="10" t="s">
        <v>365</v>
      </c>
      <c r="H17" s="11" t="s">
        <v>36</v>
      </c>
      <c r="I17" s="12" t="s">
        <v>366</v>
      </c>
      <c r="J17" s="11"/>
      <c r="K17" s="13" t="s">
        <v>367</v>
      </c>
      <c r="L17" s="0" t="s">
        <v>368</v>
      </c>
    </row>
    <row r="18" customFormat="false" ht="43.5" hidden="false" customHeight="true" outlineLevel="0" collapsed="false">
      <c r="A18" s="9" t="n">
        <v>16</v>
      </c>
      <c r="B18" s="9" t="s">
        <v>126</v>
      </c>
      <c r="C18" s="10" t="s">
        <v>31</v>
      </c>
      <c r="D18" s="10" t="s">
        <v>369</v>
      </c>
      <c r="E18" s="9" t="s">
        <v>370</v>
      </c>
      <c r="F18" s="10" t="s">
        <v>34</v>
      </c>
      <c r="G18" s="10" t="s">
        <v>371</v>
      </c>
      <c r="H18" s="11" t="s">
        <v>36</v>
      </c>
      <c r="I18" s="11" t="s">
        <v>372</v>
      </c>
      <c r="J18" s="11"/>
      <c r="K18" s="13" t="s">
        <v>373</v>
      </c>
      <c r="L18" s="0" t="s">
        <v>374</v>
      </c>
    </row>
    <row r="19" customFormat="false" ht="43.5" hidden="false" customHeight="true" outlineLevel="0" collapsed="false">
      <c r="A19" s="9" t="n">
        <v>17</v>
      </c>
      <c r="B19" s="9" t="s">
        <v>126</v>
      </c>
      <c r="C19" s="10" t="s">
        <v>31</v>
      </c>
      <c r="D19" s="10" t="s">
        <v>375</v>
      </c>
      <c r="E19" s="9" t="s">
        <v>376</v>
      </c>
      <c r="F19" s="10" t="s">
        <v>34</v>
      </c>
      <c r="G19" s="10" t="s">
        <v>377</v>
      </c>
      <c r="H19" s="11" t="s">
        <v>36</v>
      </c>
      <c r="I19" s="11" t="s">
        <v>376</v>
      </c>
      <c r="J19" s="11"/>
      <c r="K19" s="13" t="s">
        <v>378</v>
      </c>
      <c r="L19" s="0" t="s">
        <v>379</v>
      </c>
    </row>
    <row r="20" customFormat="false" ht="43.5" hidden="false" customHeight="true" outlineLevel="0" collapsed="false">
      <c r="A20" s="9" t="n">
        <v>18</v>
      </c>
      <c r="B20" s="9" t="s">
        <v>138</v>
      </c>
      <c r="C20" s="10" t="s">
        <v>75</v>
      </c>
      <c r="D20" s="10" t="s">
        <v>380</v>
      </c>
      <c r="E20" s="9" t="s">
        <v>381</v>
      </c>
      <c r="F20" s="10" t="s">
        <v>34</v>
      </c>
      <c r="G20" s="10" t="s">
        <v>382</v>
      </c>
      <c r="H20" s="11" t="s">
        <v>36</v>
      </c>
      <c r="I20" s="11" t="s">
        <v>383</v>
      </c>
      <c r="J20" s="11"/>
      <c r="K20" s="13" t="s">
        <v>384</v>
      </c>
      <c r="L20" s="0" t="s">
        <v>385</v>
      </c>
    </row>
    <row r="21" customFormat="false" ht="43.5" hidden="false" customHeight="true" outlineLevel="0" collapsed="false">
      <c r="A21" s="9" t="n">
        <v>19</v>
      </c>
      <c r="B21" s="9" t="s">
        <v>150</v>
      </c>
      <c r="C21" s="10" t="s">
        <v>75</v>
      </c>
      <c r="D21" s="10" t="s">
        <v>386</v>
      </c>
      <c r="E21" s="9" t="s">
        <v>387</v>
      </c>
      <c r="F21" s="10" t="s">
        <v>34</v>
      </c>
      <c r="G21" s="10" t="s">
        <v>153</v>
      </c>
      <c r="H21" s="11" t="s">
        <v>36</v>
      </c>
      <c r="I21" s="12" t="s">
        <v>388</v>
      </c>
      <c r="J21" s="11"/>
      <c r="K21" s="13" t="s">
        <v>389</v>
      </c>
      <c r="L21" s="0" t="s">
        <v>390</v>
      </c>
    </row>
    <row r="22" customFormat="false" ht="43.5" hidden="false" customHeight="true" outlineLevel="0" collapsed="false">
      <c r="A22" s="9" t="n">
        <v>20</v>
      </c>
      <c r="B22" s="9" t="s">
        <v>157</v>
      </c>
      <c r="C22" s="10" t="s">
        <v>158</v>
      </c>
      <c r="D22" s="10" t="s">
        <v>391</v>
      </c>
      <c r="E22" s="10" t="s">
        <v>158</v>
      </c>
      <c r="F22" s="10" t="s">
        <v>160</v>
      </c>
      <c r="G22" s="10" t="s">
        <v>392</v>
      </c>
      <c r="H22" s="11" t="s">
        <v>36</v>
      </c>
      <c r="I22" s="12" t="s">
        <v>393</v>
      </c>
      <c r="J22" s="11"/>
      <c r="K22" s="13" t="s">
        <v>394</v>
      </c>
      <c r="L22" s="0" t="s">
        <v>395</v>
      </c>
    </row>
    <row r="24" customFormat="false" ht="15" hidden="false" customHeight="true" outlineLevel="0" collapsed="false">
      <c r="A24" s="14" t="s">
        <v>165</v>
      </c>
    </row>
    <row r="25" customFormat="false" ht="15" hidden="false" customHeight="true" outlineLevel="0" collapsed="false">
      <c r="H25" s="15" t="s">
        <v>36</v>
      </c>
      <c r="I25" s="16" t="s">
        <v>166</v>
      </c>
      <c r="J25" s="15"/>
    </row>
  </sheetData>
  <autoFilter ref="A2:J22"/>
  <conditionalFormatting sqref="H3:H22">
    <cfRule type="cellIs" priority="2" operator="equal" aboveAverage="0" equalAverage="0" bottom="0" percent="0" rank="0" text="" dxfId="5">
      <formula>"OK"</formula>
    </cfRule>
    <cfRule type="cellIs" priority="3" operator="equal" aboveAverage="0" equalAverage="0" bottom="0" percent="0" rank="0" text="" dxfId="6">
      <formula>"部分"</formula>
    </cfRule>
    <cfRule type="cellIs" priority="4" operator="equal" aboveAverage="0" equalAverage="0" bottom="0" percent="0" rank="0" text="" dxfId="7">
      <formula>"NG"</formula>
    </cfRule>
  </conditionalFormatting>
  <dataValidations count="1">
    <dataValidation allowBlank="true" errorStyle="stop" operator="between" showDropDown="false" showErrorMessage="false" showInputMessage="false" sqref="H3:H22" type="list">
      <formula1>"OK,部分,NG"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0"/>
    <col collapsed="false" customWidth="true" hidden="false" outlineLevel="0" max="3" min="3" style="1" width="14"/>
    <col collapsed="false" customWidth="true" hidden="false" outlineLevel="0" max="5" min="4" style="1" width="46"/>
    <col collapsed="false" customWidth="true" hidden="false" outlineLevel="0" max="6" min="6" style="1" width="30"/>
    <col collapsed="false" customWidth="true" hidden="false" outlineLevel="0" max="7" min="7" style="1" width="28"/>
    <col collapsed="false" customWidth="true" hidden="false" outlineLevel="0" max="8" min="8" style="1" width="8"/>
    <col collapsed="false" customWidth="true" hidden="false" outlineLevel="0" max="9" min="9" style="1" width="40"/>
    <col collapsed="false" customWidth="true" hidden="false" outlineLevel="0" max="10" min="10" style="1" width="24"/>
    <col collapsed="false" customWidth="true" hidden="false" outlineLevel="0" max="11" min="11" style="0" width="80"/>
    <col collapsed="false" customWidth="true" hidden="false" outlineLevel="0" max="12" min="12" style="0" width="10"/>
  </cols>
  <sheetData>
    <row r="1" customFormat="false" ht="18.75" hidden="false" customHeight="true" outlineLevel="0" collapsed="false">
      <c r="A1" s="4" t="s">
        <v>396</v>
      </c>
    </row>
    <row r="2" customFormat="false" ht="29.25" hidden="false" customHeight="true" outlineLevel="0" collapsed="false">
      <c r="A2" s="6" t="s">
        <v>18</v>
      </c>
      <c r="B2" s="7" t="s">
        <v>19</v>
      </c>
      <c r="C2" s="7" t="s">
        <v>20</v>
      </c>
      <c r="D2" s="7" t="s">
        <v>21</v>
      </c>
      <c r="E2" s="7" t="s">
        <v>22</v>
      </c>
      <c r="F2" s="7" t="s">
        <v>23</v>
      </c>
      <c r="G2" s="7" t="s">
        <v>24</v>
      </c>
      <c r="H2" s="7" t="s">
        <v>25</v>
      </c>
      <c r="I2" s="6" t="s">
        <v>26</v>
      </c>
      <c r="J2" s="7" t="s">
        <v>27</v>
      </c>
      <c r="K2" s="0" t="s">
        <v>28</v>
      </c>
      <c r="L2" s="8" t="s">
        <v>29</v>
      </c>
    </row>
    <row r="3" customFormat="false" ht="57.75" hidden="false" customHeight="true" outlineLevel="0" collapsed="false">
      <c r="A3" s="9" t="n">
        <v>1</v>
      </c>
      <c r="B3" s="10" t="s">
        <v>283</v>
      </c>
      <c r="C3" s="10" t="s">
        <v>75</v>
      </c>
      <c r="D3" s="10" t="s">
        <v>397</v>
      </c>
      <c r="E3" s="9" t="s">
        <v>398</v>
      </c>
      <c r="F3" s="10" t="s">
        <v>34</v>
      </c>
      <c r="G3" s="10" t="s">
        <v>399</v>
      </c>
      <c r="H3" s="11" t="s">
        <v>36</v>
      </c>
      <c r="I3" s="11" t="s">
        <v>398</v>
      </c>
      <c r="J3" s="11"/>
      <c r="K3" s="13" t="s">
        <v>400</v>
      </c>
      <c r="L3" s="0" t="s">
        <v>401</v>
      </c>
    </row>
    <row r="4" customFormat="false" ht="43.5" hidden="false" customHeight="true" outlineLevel="0" collapsed="false">
      <c r="A4" s="9" t="n">
        <v>2</v>
      </c>
      <c r="B4" s="10" t="s">
        <v>283</v>
      </c>
      <c r="C4" s="10" t="s">
        <v>75</v>
      </c>
      <c r="D4" s="10" t="s">
        <v>402</v>
      </c>
      <c r="E4" s="10" t="s">
        <v>403</v>
      </c>
      <c r="F4" s="10" t="s">
        <v>34</v>
      </c>
      <c r="G4" s="10" t="s">
        <v>404</v>
      </c>
      <c r="H4" s="12" t="s">
        <v>405</v>
      </c>
      <c r="I4" s="12" t="s">
        <v>406</v>
      </c>
      <c r="J4" s="12" t="s">
        <v>407</v>
      </c>
      <c r="K4" s="13" t="s">
        <v>408</v>
      </c>
      <c r="L4" s="0" t="s">
        <v>409</v>
      </c>
    </row>
    <row r="5" customFormat="false" ht="43.5" hidden="false" customHeight="true" outlineLevel="0" collapsed="false">
      <c r="A5" s="9" t="n">
        <v>3</v>
      </c>
      <c r="B5" s="9" t="s">
        <v>30</v>
      </c>
      <c r="C5" s="10" t="s">
        <v>114</v>
      </c>
      <c r="D5" s="9" t="s">
        <v>410</v>
      </c>
      <c r="E5" s="9" t="s">
        <v>411</v>
      </c>
      <c r="F5" s="10" t="s">
        <v>34</v>
      </c>
      <c r="G5" s="10" t="s">
        <v>412</v>
      </c>
      <c r="H5" s="11" t="s">
        <v>36</v>
      </c>
      <c r="I5" s="11" t="s">
        <v>411</v>
      </c>
      <c r="J5" s="11"/>
      <c r="K5" s="17" t="s">
        <v>413</v>
      </c>
      <c r="L5" s="0" t="s">
        <v>414</v>
      </c>
    </row>
    <row r="6" customFormat="false" ht="43.5" hidden="false" customHeight="true" outlineLevel="0" collapsed="false">
      <c r="A6" s="9" t="n">
        <v>4</v>
      </c>
      <c r="B6" s="9" t="s">
        <v>30</v>
      </c>
      <c r="C6" s="10" t="s">
        <v>114</v>
      </c>
      <c r="D6" s="10" t="s">
        <v>415</v>
      </c>
      <c r="E6" s="9" t="s">
        <v>416</v>
      </c>
      <c r="F6" s="10" t="s">
        <v>34</v>
      </c>
      <c r="G6" s="10" t="s">
        <v>417</v>
      </c>
      <c r="H6" s="11" t="s">
        <v>36</v>
      </c>
      <c r="I6" s="11" t="s">
        <v>416</v>
      </c>
      <c r="J6" s="11"/>
      <c r="K6" s="13" t="s">
        <v>418</v>
      </c>
      <c r="L6" s="0" t="s">
        <v>419</v>
      </c>
    </row>
    <row r="7" customFormat="false" ht="43.5" hidden="false" customHeight="true" outlineLevel="0" collapsed="false">
      <c r="A7" s="9" t="n">
        <v>5</v>
      </c>
      <c r="B7" s="9" t="s">
        <v>30</v>
      </c>
      <c r="C7" s="10" t="s">
        <v>100</v>
      </c>
      <c r="D7" s="10" t="s">
        <v>420</v>
      </c>
      <c r="E7" s="9" t="s">
        <v>421</v>
      </c>
      <c r="F7" s="10" t="s">
        <v>103</v>
      </c>
      <c r="G7" s="10" t="s">
        <v>422</v>
      </c>
      <c r="H7" s="11" t="s">
        <v>36</v>
      </c>
      <c r="I7" s="11" t="s">
        <v>421</v>
      </c>
      <c r="J7" s="11"/>
      <c r="K7" s="13" t="s">
        <v>423</v>
      </c>
      <c r="L7" s="0" t="s">
        <v>424</v>
      </c>
    </row>
    <row r="8" customFormat="false" ht="43.5" hidden="false" customHeight="true" outlineLevel="0" collapsed="false">
      <c r="A8" s="9" t="n">
        <v>6</v>
      </c>
      <c r="B8" s="9" t="s">
        <v>45</v>
      </c>
      <c r="C8" s="10" t="s">
        <v>114</v>
      </c>
      <c r="D8" s="10" t="s">
        <v>425</v>
      </c>
      <c r="E8" s="10" t="s">
        <v>426</v>
      </c>
      <c r="F8" s="10" t="s">
        <v>34</v>
      </c>
      <c r="G8" s="10" t="s">
        <v>427</v>
      </c>
      <c r="H8" s="11" t="s">
        <v>36</v>
      </c>
      <c r="I8" s="12" t="s">
        <v>428</v>
      </c>
      <c r="J8" s="11"/>
      <c r="K8" s="13" t="s">
        <v>429</v>
      </c>
      <c r="L8" s="0" t="s">
        <v>430</v>
      </c>
    </row>
    <row r="9" customFormat="false" ht="43.5" hidden="false" customHeight="true" outlineLevel="0" collapsed="false">
      <c r="A9" s="9" t="n">
        <v>7</v>
      </c>
      <c r="B9" s="9" t="s">
        <v>45</v>
      </c>
      <c r="C9" s="10" t="s">
        <v>114</v>
      </c>
      <c r="D9" s="10" t="s">
        <v>431</v>
      </c>
      <c r="E9" s="10" t="s">
        <v>432</v>
      </c>
      <c r="F9" s="10" t="s">
        <v>34</v>
      </c>
      <c r="G9" s="10" t="s">
        <v>433</v>
      </c>
      <c r="H9" s="11" t="s">
        <v>36</v>
      </c>
      <c r="I9" s="12" t="s">
        <v>434</v>
      </c>
      <c r="J9" s="11"/>
      <c r="K9" s="13" t="s">
        <v>435</v>
      </c>
      <c r="L9" s="0" t="s">
        <v>436</v>
      </c>
    </row>
    <row r="10" customFormat="false" ht="43.5" hidden="false" customHeight="true" outlineLevel="0" collapsed="false">
      <c r="A10" s="9" t="n">
        <v>8</v>
      </c>
      <c r="B10" s="9" t="s">
        <v>65</v>
      </c>
      <c r="C10" s="10" t="s">
        <v>66</v>
      </c>
      <c r="D10" s="9" t="s">
        <v>437</v>
      </c>
      <c r="E10" s="9" t="s">
        <v>438</v>
      </c>
      <c r="F10" s="10" t="s">
        <v>34</v>
      </c>
      <c r="G10" s="10" t="s">
        <v>439</v>
      </c>
      <c r="H10" s="11" t="s">
        <v>36</v>
      </c>
      <c r="I10" s="11" t="s">
        <v>440</v>
      </c>
      <c r="J10" s="11"/>
      <c r="K10" s="17" t="s">
        <v>441</v>
      </c>
      <c r="L10" s="0" t="s">
        <v>442</v>
      </c>
    </row>
    <row r="11" customFormat="false" ht="43.5" hidden="false" customHeight="true" outlineLevel="0" collapsed="false">
      <c r="A11" s="9" t="n">
        <v>9</v>
      </c>
      <c r="B11" s="9" t="s">
        <v>65</v>
      </c>
      <c r="C11" s="10" t="s">
        <v>66</v>
      </c>
      <c r="D11" s="9" t="s">
        <v>443</v>
      </c>
      <c r="E11" s="10" t="s">
        <v>444</v>
      </c>
      <c r="F11" s="10" t="s">
        <v>34</v>
      </c>
      <c r="G11" s="10" t="s">
        <v>445</v>
      </c>
      <c r="H11" s="11" t="s">
        <v>36</v>
      </c>
      <c r="I11" s="12" t="s">
        <v>444</v>
      </c>
      <c r="J11" s="11"/>
      <c r="K11" s="17" t="s">
        <v>446</v>
      </c>
      <c r="L11" s="0" t="s">
        <v>447</v>
      </c>
    </row>
    <row r="12" customFormat="false" ht="43.5" hidden="false" customHeight="true" outlineLevel="0" collapsed="false">
      <c r="A12" s="9" t="n">
        <v>10</v>
      </c>
      <c r="B12" s="9" t="s">
        <v>82</v>
      </c>
      <c r="C12" s="10" t="s">
        <v>114</v>
      </c>
      <c r="D12" s="10" t="s">
        <v>448</v>
      </c>
      <c r="E12" s="10" t="s">
        <v>449</v>
      </c>
      <c r="F12" s="10" t="s">
        <v>34</v>
      </c>
      <c r="G12" s="10" t="s">
        <v>450</v>
      </c>
      <c r="H12" s="11" t="s">
        <v>36</v>
      </c>
      <c r="I12" s="12" t="s">
        <v>451</v>
      </c>
      <c r="J12" s="11"/>
      <c r="K12" s="13" t="s">
        <v>452</v>
      </c>
      <c r="L12" s="0" t="s">
        <v>453</v>
      </c>
    </row>
    <row r="13" customFormat="false" ht="43.5" hidden="false" customHeight="true" outlineLevel="0" collapsed="false">
      <c r="A13" s="9" t="n">
        <v>11</v>
      </c>
      <c r="B13" s="9" t="s">
        <v>82</v>
      </c>
      <c r="C13" s="10" t="s">
        <v>114</v>
      </c>
      <c r="D13" s="10" t="s">
        <v>454</v>
      </c>
      <c r="E13" s="10" t="s">
        <v>455</v>
      </c>
      <c r="F13" s="10" t="s">
        <v>34</v>
      </c>
      <c r="G13" s="10" t="s">
        <v>456</v>
      </c>
      <c r="H13" s="11" t="s">
        <v>36</v>
      </c>
      <c r="I13" s="12" t="s">
        <v>457</v>
      </c>
      <c r="J13" s="11"/>
      <c r="K13" s="13" t="s">
        <v>458</v>
      </c>
      <c r="L13" s="0" t="s">
        <v>459</v>
      </c>
    </row>
    <row r="14" customFormat="false" ht="43.5" hidden="false" customHeight="true" outlineLevel="0" collapsed="false">
      <c r="A14" s="9" t="n">
        <v>12</v>
      </c>
      <c r="B14" s="9" t="s">
        <v>93</v>
      </c>
      <c r="C14" s="10" t="s">
        <v>94</v>
      </c>
      <c r="D14" s="10" t="s">
        <v>460</v>
      </c>
      <c r="E14" s="10" t="s">
        <v>461</v>
      </c>
      <c r="F14" s="10" t="s">
        <v>34</v>
      </c>
      <c r="G14" s="10" t="s">
        <v>462</v>
      </c>
      <c r="H14" s="11" t="s">
        <v>36</v>
      </c>
      <c r="I14" s="12" t="s">
        <v>461</v>
      </c>
      <c r="J14" s="11"/>
      <c r="K14" s="13" t="s">
        <v>463</v>
      </c>
      <c r="L14" s="0" t="s">
        <v>464</v>
      </c>
    </row>
    <row r="15" customFormat="false" ht="43.5" hidden="false" customHeight="true" outlineLevel="0" collapsed="false">
      <c r="A15" s="9" t="n">
        <v>13</v>
      </c>
      <c r="B15" s="9" t="s">
        <v>93</v>
      </c>
      <c r="C15" s="10" t="s">
        <v>94</v>
      </c>
      <c r="D15" s="10" t="s">
        <v>465</v>
      </c>
      <c r="E15" s="10" t="s">
        <v>466</v>
      </c>
      <c r="F15" s="10" t="s">
        <v>34</v>
      </c>
      <c r="G15" s="10" t="s">
        <v>462</v>
      </c>
      <c r="H15" s="11" t="s">
        <v>36</v>
      </c>
      <c r="I15" s="12" t="s">
        <v>467</v>
      </c>
      <c r="J15" s="11"/>
      <c r="K15" s="13" t="s">
        <v>468</v>
      </c>
      <c r="L15" s="0" t="s">
        <v>469</v>
      </c>
    </row>
    <row r="16" customFormat="false" ht="43.5" hidden="false" customHeight="true" outlineLevel="0" collapsed="false">
      <c r="A16" s="9" t="n">
        <v>14</v>
      </c>
      <c r="B16" s="9" t="s">
        <v>93</v>
      </c>
      <c r="C16" s="10" t="s">
        <v>94</v>
      </c>
      <c r="D16" s="10" t="s">
        <v>470</v>
      </c>
      <c r="E16" s="10" t="s">
        <v>471</v>
      </c>
      <c r="F16" s="10" t="s">
        <v>34</v>
      </c>
      <c r="G16" s="10" t="s">
        <v>97</v>
      </c>
      <c r="H16" s="11" t="s">
        <v>36</v>
      </c>
      <c r="I16" s="12" t="s">
        <v>472</v>
      </c>
      <c r="J16" s="11"/>
      <c r="K16" s="13" t="s">
        <v>473</v>
      </c>
      <c r="L16" s="0" t="s">
        <v>474</v>
      </c>
    </row>
    <row r="17" customFormat="false" ht="43.5" hidden="false" customHeight="true" outlineLevel="0" collapsed="false">
      <c r="A17" s="9" t="n">
        <v>15</v>
      </c>
      <c r="B17" s="9" t="s">
        <v>113</v>
      </c>
      <c r="C17" s="10" t="s">
        <v>100</v>
      </c>
      <c r="D17" s="10" t="s">
        <v>475</v>
      </c>
      <c r="E17" s="9" t="s">
        <v>476</v>
      </c>
      <c r="F17" s="10" t="s">
        <v>103</v>
      </c>
      <c r="G17" s="10" t="s">
        <v>477</v>
      </c>
      <c r="H17" s="11" t="s">
        <v>36</v>
      </c>
      <c r="I17" s="11" t="s">
        <v>478</v>
      </c>
      <c r="J17" s="11"/>
      <c r="K17" s="13" t="s">
        <v>479</v>
      </c>
      <c r="L17" s="0" t="s">
        <v>480</v>
      </c>
    </row>
    <row r="18" customFormat="false" ht="43.5" hidden="false" customHeight="true" outlineLevel="0" collapsed="false">
      <c r="A18" s="9" t="n">
        <v>16</v>
      </c>
      <c r="B18" s="9" t="s">
        <v>113</v>
      </c>
      <c r="C18" s="10" t="s">
        <v>114</v>
      </c>
      <c r="D18" s="10" t="s">
        <v>481</v>
      </c>
      <c r="E18" s="9" t="s">
        <v>482</v>
      </c>
      <c r="F18" s="10" t="s">
        <v>103</v>
      </c>
      <c r="G18" s="10" t="s">
        <v>483</v>
      </c>
      <c r="H18" s="11" t="s">
        <v>36</v>
      </c>
      <c r="I18" s="11" t="s">
        <v>484</v>
      </c>
      <c r="J18" s="11"/>
      <c r="K18" s="13" t="s">
        <v>485</v>
      </c>
      <c r="L18" s="0" t="s">
        <v>486</v>
      </c>
    </row>
    <row r="19" customFormat="false" ht="43.5" hidden="false" customHeight="true" outlineLevel="0" collapsed="false">
      <c r="A19" s="9" t="n">
        <v>17</v>
      </c>
      <c r="B19" s="9" t="s">
        <v>126</v>
      </c>
      <c r="C19" s="10" t="s">
        <v>66</v>
      </c>
      <c r="D19" s="10" t="s">
        <v>487</v>
      </c>
      <c r="E19" s="10" t="s">
        <v>488</v>
      </c>
      <c r="F19" s="10" t="s">
        <v>34</v>
      </c>
      <c r="G19" s="10" t="s">
        <v>489</v>
      </c>
      <c r="H19" s="11" t="s">
        <v>36</v>
      </c>
      <c r="I19" s="12" t="s">
        <v>490</v>
      </c>
      <c r="J19" s="11"/>
      <c r="K19" s="13" t="s">
        <v>491</v>
      </c>
      <c r="L19" s="0" t="s">
        <v>492</v>
      </c>
    </row>
    <row r="20" customFormat="false" ht="43.5" hidden="false" customHeight="true" outlineLevel="0" collapsed="false">
      <c r="A20" s="9" t="n">
        <v>18</v>
      </c>
      <c r="B20" s="9" t="s">
        <v>126</v>
      </c>
      <c r="C20" s="10" t="s">
        <v>66</v>
      </c>
      <c r="D20" s="10" t="s">
        <v>493</v>
      </c>
      <c r="E20" s="9" t="s">
        <v>494</v>
      </c>
      <c r="F20" s="10" t="s">
        <v>34</v>
      </c>
      <c r="G20" s="10" t="s">
        <v>489</v>
      </c>
      <c r="H20" s="11" t="s">
        <v>36</v>
      </c>
      <c r="I20" s="11" t="s">
        <v>495</v>
      </c>
      <c r="J20" s="11"/>
      <c r="K20" s="13" t="s">
        <v>496</v>
      </c>
      <c r="L20" s="0" t="s">
        <v>497</v>
      </c>
    </row>
    <row r="21" customFormat="false" ht="43.5" hidden="false" customHeight="true" outlineLevel="0" collapsed="false">
      <c r="A21" s="9" t="n">
        <v>19</v>
      </c>
      <c r="B21" s="9" t="s">
        <v>138</v>
      </c>
      <c r="C21" s="10" t="s">
        <v>114</v>
      </c>
      <c r="D21" s="10" t="s">
        <v>498</v>
      </c>
      <c r="E21" s="10" t="s">
        <v>499</v>
      </c>
      <c r="F21" s="10" t="s">
        <v>34</v>
      </c>
      <c r="G21" s="10" t="s">
        <v>500</v>
      </c>
      <c r="H21" s="11" t="s">
        <v>36</v>
      </c>
      <c r="I21" s="12" t="s">
        <v>499</v>
      </c>
      <c r="J21" s="11"/>
      <c r="K21" s="13" t="s">
        <v>501</v>
      </c>
      <c r="L21" s="0" t="s">
        <v>502</v>
      </c>
    </row>
    <row r="22" customFormat="false" ht="43.5" hidden="false" customHeight="true" outlineLevel="0" collapsed="false">
      <c r="A22" s="9" t="n">
        <v>20</v>
      </c>
      <c r="B22" s="9" t="s">
        <v>150</v>
      </c>
      <c r="C22" s="10" t="s">
        <v>75</v>
      </c>
      <c r="D22" s="10" t="s">
        <v>503</v>
      </c>
      <c r="E22" s="9" t="s">
        <v>504</v>
      </c>
      <c r="F22" s="10" t="s">
        <v>34</v>
      </c>
      <c r="G22" s="10" t="s">
        <v>153</v>
      </c>
      <c r="H22" s="11" t="s">
        <v>36</v>
      </c>
      <c r="I22" s="11" t="s">
        <v>505</v>
      </c>
      <c r="J22" s="11"/>
      <c r="K22" s="13" t="s">
        <v>506</v>
      </c>
      <c r="L22" s="0" t="s">
        <v>507</v>
      </c>
    </row>
    <row r="24" customFormat="false" ht="15" hidden="false" customHeight="true" outlineLevel="0" collapsed="false">
      <c r="A24" s="14" t="s">
        <v>165</v>
      </c>
    </row>
    <row r="25" customFormat="false" ht="15" hidden="false" customHeight="true" outlineLevel="0" collapsed="false">
      <c r="H25" s="15" t="s">
        <v>36</v>
      </c>
      <c r="I25" s="16" t="s">
        <v>166</v>
      </c>
      <c r="J25" s="15"/>
    </row>
  </sheetData>
  <autoFilter ref="A2:J22"/>
  <conditionalFormatting sqref="H3:H22">
    <cfRule type="cellIs" priority="2" operator="equal" aboveAverage="0" equalAverage="0" bottom="0" percent="0" rank="0" text="" dxfId="5">
      <formula>"OK"</formula>
    </cfRule>
    <cfRule type="cellIs" priority="3" operator="equal" aboveAverage="0" equalAverage="0" bottom="0" percent="0" rank="0" text="" dxfId="6">
      <formula>"部分"</formula>
    </cfRule>
    <cfRule type="cellIs" priority="4" operator="equal" aboveAverage="0" equalAverage="0" bottom="0" percent="0" rank="0" text="" dxfId="7">
      <formula>"NG"</formula>
    </cfRule>
  </conditionalFormatting>
  <dataValidations count="1">
    <dataValidation allowBlank="true" errorStyle="stop" operator="between" showDropDown="false" showErrorMessage="false" showInputMessage="false" sqref="H3:H22" type="list">
      <formula1>"OK,部分,NG"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0"/>
    <col collapsed="false" customWidth="true" hidden="false" outlineLevel="0" max="3" min="3" style="1" width="14"/>
    <col collapsed="false" customWidth="true" hidden="false" outlineLevel="0" max="5" min="4" style="1" width="46"/>
    <col collapsed="false" customWidth="true" hidden="false" outlineLevel="0" max="6" min="6" style="1" width="30"/>
    <col collapsed="false" customWidth="true" hidden="false" outlineLevel="0" max="7" min="7" style="1" width="28"/>
    <col collapsed="false" customWidth="true" hidden="false" outlineLevel="0" max="8" min="8" style="1" width="8"/>
    <col collapsed="false" customWidth="true" hidden="false" outlineLevel="0" max="9" min="9" style="1" width="40"/>
    <col collapsed="false" customWidth="true" hidden="false" outlineLevel="0" max="10" min="10" style="1" width="24"/>
    <col collapsed="false" customWidth="true" hidden="false" outlineLevel="0" max="11" min="11" style="0" width="80"/>
    <col collapsed="false" customWidth="true" hidden="false" outlineLevel="0" max="12" min="12" style="0" width="10"/>
  </cols>
  <sheetData>
    <row r="1" customFormat="false" ht="18.75" hidden="false" customHeight="true" outlineLevel="0" collapsed="false">
      <c r="A1" s="4" t="s">
        <v>508</v>
      </c>
    </row>
    <row r="2" customFormat="false" ht="29.25" hidden="false" customHeight="true" outlineLevel="0" collapsed="false">
      <c r="A2" s="6" t="s">
        <v>18</v>
      </c>
      <c r="B2" s="7" t="s">
        <v>19</v>
      </c>
      <c r="C2" s="7" t="s">
        <v>20</v>
      </c>
      <c r="D2" s="7" t="s">
        <v>21</v>
      </c>
      <c r="E2" s="7" t="s">
        <v>22</v>
      </c>
      <c r="F2" s="7" t="s">
        <v>23</v>
      </c>
      <c r="G2" s="7" t="s">
        <v>24</v>
      </c>
      <c r="H2" s="7" t="s">
        <v>25</v>
      </c>
      <c r="I2" s="6" t="s">
        <v>26</v>
      </c>
      <c r="J2" s="7" t="s">
        <v>27</v>
      </c>
      <c r="K2" s="0" t="s">
        <v>28</v>
      </c>
      <c r="L2" s="8" t="s">
        <v>29</v>
      </c>
    </row>
    <row r="3" customFormat="false" ht="43.5" hidden="false" customHeight="true" outlineLevel="0" collapsed="false">
      <c r="A3" s="9" t="n">
        <v>1</v>
      </c>
      <c r="B3" s="9" t="s">
        <v>30</v>
      </c>
      <c r="C3" s="10" t="s">
        <v>46</v>
      </c>
      <c r="D3" s="10" t="s">
        <v>509</v>
      </c>
      <c r="E3" s="9" t="s">
        <v>510</v>
      </c>
      <c r="F3" s="10" t="s">
        <v>34</v>
      </c>
      <c r="G3" s="10" t="s">
        <v>511</v>
      </c>
      <c r="H3" s="11" t="s">
        <v>36</v>
      </c>
      <c r="I3" s="11" t="s">
        <v>510</v>
      </c>
      <c r="J3" s="11"/>
      <c r="K3" s="13" t="s">
        <v>512</v>
      </c>
      <c r="L3" s="0" t="s">
        <v>513</v>
      </c>
    </row>
    <row r="4" customFormat="false" ht="43.5" hidden="false" customHeight="true" outlineLevel="0" collapsed="false">
      <c r="A4" s="9" t="n">
        <v>2</v>
      </c>
      <c r="B4" s="9" t="s">
        <v>30</v>
      </c>
      <c r="C4" s="10" t="s">
        <v>100</v>
      </c>
      <c r="D4" s="10" t="s">
        <v>514</v>
      </c>
      <c r="E4" s="9" t="s">
        <v>515</v>
      </c>
      <c r="F4" s="10" t="s">
        <v>103</v>
      </c>
      <c r="G4" s="10" t="s">
        <v>516</v>
      </c>
      <c r="H4" s="11" t="s">
        <v>36</v>
      </c>
      <c r="I4" s="11" t="s">
        <v>517</v>
      </c>
      <c r="J4" s="11"/>
      <c r="K4" s="17" t="s">
        <v>518</v>
      </c>
      <c r="L4" s="0" t="s">
        <v>519</v>
      </c>
    </row>
    <row r="5" customFormat="false" ht="43.5" hidden="false" customHeight="true" outlineLevel="0" collapsed="false">
      <c r="A5" s="9" t="n">
        <v>3</v>
      </c>
      <c r="B5" s="9" t="s">
        <v>45</v>
      </c>
      <c r="C5" s="10" t="s">
        <v>46</v>
      </c>
      <c r="D5" s="10" t="s">
        <v>520</v>
      </c>
      <c r="E5" s="9" t="s">
        <v>521</v>
      </c>
      <c r="F5" s="10" t="s">
        <v>34</v>
      </c>
      <c r="G5" s="10" t="s">
        <v>522</v>
      </c>
      <c r="H5" s="11" t="s">
        <v>36</v>
      </c>
      <c r="I5" s="11" t="s">
        <v>521</v>
      </c>
      <c r="J5" s="11"/>
      <c r="K5" s="13" t="s">
        <v>523</v>
      </c>
      <c r="L5" s="0" t="s">
        <v>524</v>
      </c>
    </row>
    <row r="6" customFormat="false" ht="43.5" hidden="false" customHeight="true" outlineLevel="0" collapsed="false">
      <c r="A6" s="9" t="n">
        <v>4</v>
      </c>
      <c r="B6" s="9" t="s">
        <v>45</v>
      </c>
      <c r="C6" s="10" t="s">
        <v>100</v>
      </c>
      <c r="D6" s="10" t="s">
        <v>525</v>
      </c>
      <c r="E6" s="9" t="s">
        <v>526</v>
      </c>
      <c r="F6" s="10" t="s">
        <v>103</v>
      </c>
      <c r="G6" s="10" t="s">
        <v>527</v>
      </c>
      <c r="H6" s="11" t="s">
        <v>36</v>
      </c>
      <c r="I6" s="11" t="s">
        <v>528</v>
      </c>
      <c r="J6" s="11"/>
      <c r="K6" s="13" t="s">
        <v>529</v>
      </c>
      <c r="L6" s="0" t="s">
        <v>530</v>
      </c>
    </row>
    <row r="7" customFormat="false" ht="43.5" hidden="false" customHeight="true" outlineLevel="0" collapsed="false">
      <c r="A7" s="9" t="n">
        <v>5</v>
      </c>
      <c r="B7" s="9" t="s">
        <v>65</v>
      </c>
      <c r="C7" s="10" t="s">
        <v>31</v>
      </c>
      <c r="D7" s="10" t="s">
        <v>531</v>
      </c>
      <c r="E7" s="9" t="s">
        <v>532</v>
      </c>
      <c r="F7" s="10" t="s">
        <v>34</v>
      </c>
      <c r="G7" s="10" t="s">
        <v>533</v>
      </c>
      <c r="H7" s="11" t="s">
        <v>36</v>
      </c>
      <c r="I7" s="11" t="s">
        <v>534</v>
      </c>
      <c r="J7" s="11"/>
      <c r="K7" s="13" t="s">
        <v>535</v>
      </c>
      <c r="L7" s="0" t="s">
        <v>536</v>
      </c>
    </row>
    <row r="8" customFormat="false" ht="43.5" hidden="false" customHeight="true" outlineLevel="0" collapsed="false">
      <c r="A8" s="9" t="n">
        <v>6</v>
      </c>
      <c r="B8" s="9" t="s">
        <v>65</v>
      </c>
      <c r="C8" s="10" t="s">
        <v>31</v>
      </c>
      <c r="D8" s="9" t="s">
        <v>537</v>
      </c>
      <c r="E8" s="9" t="s">
        <v>538</v>
      </c>
      <c r="F8" s="10" t="s">
        <v>34</v>
      </c>
      <c r="G8" s="10" t="s">
        <v>539</v>
      </c>
      <c r="H8" s="11" t="s">
        <v>36</v>
      </c>
      <c r="I8" s="11" t="s">
        <v>540</v>
      </c>
      <c r="J8" s="11"/>
      <c r="K8" s="17" t="s">
        <v>541</v>
      </c>
      <c r="L8" s="0" t="s">
        <v>542</v>
      </c>
    </row>
    <row r="9" customFormat="false" ht="43.5" hidden="false" customHeight="true" outlineLevel="0" collapsed="false">
      <c r="A9" s="9" t="n">
        <v>7</v>
      </c>
      <c r="B9" s="9" t="s">
        <v>82</v>
      </c>
      <c r="C9" s="10" t="s">
        <v>114</v>
      </c>
      <c r="D9" s="9" t="s">
        <v>543</v>
      </c>
      <c r="E9" s="10" t="s">
        <v>544</v>
      </c>
      <c r="F9" s="10" t="s">
        <v>34</v>
      </c>
      <c r="G9" s="10" t="s">
        <v>545</v>
      </c>
      <c r="H9" s="11" t="s">
        <v>36</v>
      </c>
      <c r="I9" s="12" t="s">
        <v>546</v>
      </c>
      <c r="J9" s="11"/>
      <c r="K9" s="17" t="s">
        <v>547</v>
      </c>
      <c r="L9" s="0" t="s">
        <v>548</v>
      </c>
    </row>
    <row r="10" customFormat="false" ht="43.5" hidden="false" customHeight="true" outlineLevel="0" collapsed="false">
      <c r="A10" s="9" t="n">
        <v>8</v>
      </c>
      <c r="B10" s="9" t="s">
        <v>82</v>
      </c>
      <c r="C10" s="10" t="s">
        <v>114</v>
      </c>
      <c r="D10" s="9" t="s">
        <v>549</v>
      </c>
      <c r="E10" s="10" t="s">
        <v>550</v>
      </c>
      <c r="F10" s="10" t="s">
        <v>34</v>
      </c>
      <c r="G10" s="10" t="s">
        <v>551</v>
      </c>
      <c r="H10" s="11" t="s">
        <v>36</v>
      </c>
      <c r="I10" s="12" t="s">
        <v>550</v>
      </c>
      <c r="J10" s="11"/>
      <c r="K10" s="17" t="s">
        <v>552</v>
      </c>
      <c r="L10" s="0" t="s">
        <v>553</v>
      </c>
    </row>
    <row r="11" customFormat="false" ht="43.5" hidden="false" customHeight="true" outlineLevel="0" collapsed="false">
      <c r="A11" s="9" t="n">
        <v>9</v>
      </c>
      <c r="B11" s="9" t="s">
        <v>82</v>
      </c>
      <c r="C11" s="10" t="s">
        <v>114</v>
      </c>
      <c r="D11" s="10" t="s">
        <v>554</v>
      </c>
      <c r="E11" s="10" t="s">
        <v>555</v>
      </c>
      <c r="F11" s="10" t="s">
        <v>34</v>
      </c>
      <c r="G11" s="10" t="s">
        <v>556</v>
      </c>
      <c r="H11" s="11" t="s">
        <v>36</v>
      </c>
      <c r="I11" s="12" t="s">
        <v>557</v>
      </c>
      <c r="J11" s="11"/>
      <c r="K11" s="13" t="s">
        <v>558</v>
      </c>
      <c r="L11" s="0" t="s">
        <v>559</v>
      </c>
    </row>
    <row r="12" customFormat="false" ht="43.5" hidden="false" customHeight="true" outlineLevel="0" collapsed="false">
      <c r="A12" s="9" t="n">
        <v>10</v>
      </c>
      <c r="B12" s="9" t="s">
        <v>93</v>
      </c>
      <c r="C12" s="10" t="s">
        <v>114</v>
      </c>
      <c r="D12" s="10" t="s">
        <v>560</v>
      </c>
      <c r="E12" s="10" t="s">
        <v>561</v>
      </c>
      <c r="F12" s="10" t="s">
        <v>34</v>
      </c>
      <c r="G12" s="10" t="s">
        <v>562</v>
      </c>
      <c r="H12" s="11" t="s">
        <v>36</v>
      </c>
      <c r="I12" s="12" t="s">
        <v>563</v>
      </c>
      <c r="J12" s="11"/>
      <c r="K12" s="13" t="s">
        <v>564</v>
      </c>
      <c r="L12" s="0" t="s">
        <v>565</v>
      </c>
    </row>
    <row r="13" customFormat="false" ht="43.5" hidden="false" customHeight="true" outlineLevel="0" collapsed="false">
      <c r="A13" s="9" t="n">
        <v>11</v>
      </c>
      <c r="B13" s="9" t="s">
        <v>93</v>
      </c>
      <c r="C13" s="10" t="s">
        <v>114</v>
      </c>
      <c r="D13" s="10" t="s">
        <v>566</v>
      </c>
      <c r="E13" s="9" t="s">
        <v>567</v>
      </c>
      <c r="F13" s="10" t="s">
        <v>34</v>
      </c>
      <c r="G13" s="10" t="s">
        <v>568</v>
      </c>
      <c r="H13" s="11" t="s">
        <v>36</v>
      </c>
      <c r="I13" s="11" t="s">
        <v>567</v>
      </c>
      <c r="J13" s="11"/>
      <c r="K13" s="13" t="s">
        <v>569</v>
      </c>
      <c r="L13" s="0" t="s">
        <v>570</v>
      </c>
    </row>
    <row r="14" customFormat="false" ht="43.5" hidden="false" customHeight="true" outlineLevel="0" collapsed="false">
      <c r="A14" s="9" t="n">
        <v>12</v>
      </c>
      <c r="B14" s="9" t="s">
        <v>113</v>
      </c>
      <c r="C14" s="10" t="s">
        <v>114</v>
      </c>
      <c r="D14" s="10" t="s">
        <v>571</v>
      </c>
      <c r="E14" s="10" t="s">
        <v>572</v>
      </c>
      <c r="F14" s="10" t="s">
        <v>34</v>
      </c>
      <c r="G14" s="10" t="s">
        <v>573</v>
      </c>
      <c r="H14" s="11" t="s">
        <v>36</v>
      </c>
      <c r="I14" s="12" t="s">
        <v>574</v>
      </c>
      <c r="J14" s="11"/>
      <c r="K14" s="13" t="s">
        <v>575</v>
      </c>
      <c r="L14" s="0" t="s">
        <v>576</v>
      </c>
    </row>
    <row r="15" customFormat="false" ht="43.5" hidden="false" customHeight="true" outlineLevel="0" collapsed="false">
      <c r="A15" s="9" t="n">
        <v>13</v>
      </c>
      <c r="B15" s="9" t="s">
        <v>113</v>
      </c>
      <c r="C15" s="10" t="s">
        <v>114</v>
      </c>
      <c r="D15" s="10" t="s">
        <v>577</v>
      </c>
      <c r="E15" s="10" t="s">
        <v>578</v>
      </c>
      <c r="F15" s="10" t="s">
        <v>34</v>
      </c>
      <c r="G15" s="10" t="s">
        <v>579</v>
      </c>
      <c r="H15" s="11" t="s">
        <v>36</v>
      </c>
      <c r="I15" s="12" t="s">
        <v>580</v>
      </c>
      <c r="J15" s="11"/>
      <c r="K15" s="13" t="s">
        <v>581</v>
      </c>
      <c r="L15" s="0" t="s">
        <v>582</v>
      </c>
    </row>
    <row r="16" customFormat="false" ht="43.5" hidden="false" customHeight="true" outlineLevel="0" collapsed="false">
      <c r="A16" s="9" t="n">
        <v>14</v>
      </c>
      <c r="B16" s="9" t="s">
        <v>126</v>
      </c>
      <c r="C16" s="10" t="s">
        <v>66</v>
      </c>
      <c r="D16" s="10" t="s">
        <v>583</v>
      </c>
      <c r="E16" s="10" t="s">
        <v>584</v>
      </c>
      <c r="F16" s="10" t="s">
        <v>34</v>
      </c>
      <c r="G16" s="10" t="s">
        <v>585</v>
      </c>
      <c r="H16" s="11" t="s">
        <v>36</v>
      </c>
      <c r="I16" s="12" t="s">
        <v>584</v>
      </c>
      <c r="J16" s="11"/>
      <c r="K16" s="13" t="s">
        <v>586</v>
      </c>
      <c r="L16" s="0" t="s">
        <v>587</v>
      </c>
    </row>
    <row r="17" customFormat="false" ht="43.5" hidden="false" customHeight="true" outlineLevel="0" collapsed="false">
      <c r="A17" s="9" t="n">
        <v>15</v>
      </c>
      <c r="B17" s="9" t="s">
        <v>126</v>
      </c>
      <c r="C17" s="10" t="s">
        <v>66</v>
      </c>
      <c r="D17" s="10" t="s">
        <v>588</v>
      </c>
      <c r="E17" s="10" t="s">
        <v>589</v>
      </c>
      <c r="F17" s="10" t="s">
        <v>34</v>
      </c>
      <c r="G17" s="10" t="s">
        <v>590</v>
      </c>
      <c r="H17" s="11" t="s">
        <v>36</v>
      </c>
      <c r="I17" s="12" t="s">
        <v>589</v>
      </c>
      <c r="J17" s="11"/>
      <c r="K17" s="13" t="s">
        <v>591</v>
      </c>
      <c r="L17" s="0" t="s">
        <v>592</v>
      </c>
    </row>
    <row r="18" customFormat="false" ht="43.5" hidden="false" customHeight="true" outlineLevel="0" collapsed="false">
      <c r="A18" s="9" t="n">
        <v>16</v>
      </c>
      <c r="B18" s="9" t="s">
        <v>138</v>
      </c>
      <c r="C18" s="10" t="s">
        <v>94</v>
      </c>
      <c r="D18" s="10" t="s">
        <v>593</v>
      </c>
      <c r="E18" s="9" t="s">
        <v>594</v>
      </c>
      <c r="F18" s="10" t="s">
        <v>34</v>
      </c>
      <c r="G18" s="10" t="s">
        <v>595</v>
      </c>
      <c r="H18" s="11" t="s">
        <v>36</v>
      </c>
      <c r="I18" s="11" t="s">
        <v>594</v>
      </c>
      <c r="J18" s="11"/>
      <c r="K18" s="13" t="s">
        <v>596</v>
      </c>
      <c r="L18" s="0" t="s">
        <v>597</v>
      </c>
    </row>
    <row r="19" customFormat="false" ht="43.5" hidden="false" customHeight="true" outlineLevel="0" collapsed="false">
      <c r="A19" s="9" t="n">
        <v>17</v>
      </c>
      <c r="B19" s="9" t="s">
        <v>138</v>
      </c>
      <c r="C19" s="10" t="s">
        <v>31</v>
      </c>
      <c r="D19" s="10" t="s">
        <v>598</v>
      </c>
      <c r="E19" s="9" t="s">
        <v>599</v>
      </c>
      <c r="F19" s="10" t="s">
        <v>34</v>
      </c>
      <c r="G19" s="10" t="s">
        <v>600</v>
      </c>
      <c r="H19" s="11" t="s">
        <v>36</v>
      </c>
      <c r="I19" s="11" t="s">
        <v>599</v>
      </c>
      <c r="J19" s="11"/>
      <c r="K19" s="13" t="s">
        <v>601</v>
      </c>
      <c r="L19" s="0" t="s">
        <v>602</v>
      </c>
    </row>
    <row r="20" customFormat="false" ht="43.5" hidden="false" customHeight="true" outlineLevel="0" collapsed="false">
      <c r="A20" s="9" t="n">
        <v>18</v>
      </c>
      <c r="B20" s="9" t="s">
        <v>150</v>
      </c>
      <c r="C20" s="10" t="s">
        <v>46</v>
      </c>
      <c r="D20" s="9" t="s">
        <v>603</v>
      </c>
      <c r="E20" s="9" t="s">
        <v>604</v>
      </c>
      <c r="F20" s="10" t="s">
        <v>103</v>
      </c>
      <c r="G20" s="10" t="s">
        <v>605</v>
      </c>
      <c r="H20" s="11" t="s">
        <v>36</v>
      </c>
      <c r="I20" s="11" t="s">
        <v>606</v>
      </c>
      <c r="J20" s="11"/>
      <c r="K20" s="17" t="s">
        <v>607</v>
      </c>
      <c r="L20" s="0" t="s">
        <v>608</v>
      </c>
    </row>
    <row r="21" customFormat="false" ht="43.5" hidden="false" customHeight="true" outlineLevel="0" collapsed="false">
      <c r="A21" s="9" t="n">
        <v>19</v>
      </c>
      <c r="B21" s="9" t="s">
        <v>150</v>
      </c>
      <c r="C21" s="10" t="s">
        <v>75</v>
      </c>
      <c r="D21" s="9" t="s">
        <v>609</v>
      </c>
      <c r="E21" s="10" t="s">
        <v>610</v>
      </c>
      <c r="F21" s="10" t="s">
        <v>34</v>
      </c>
      <c r="G21" s="10" t="s">
        <v>153</v>
      </c>
      <c r="H21" s="11" t="s">
        <v>36</v>
      </c>
      <c r="I21" s="12" t="s">
        <v>611</v>
      </c>
      <c r="J21" s="11"/>
      <c r="K21" s="17" t="s">
        <v>612</v>
      </c>
      <c r="L21" s="0" t="s">
        <v>613</v>
      </c>
    </row>
    <row r="22" customFormat="false" ht="43.5" hidden="false" customHeight="true" outlineLevel="0" collapsed="false">
      <c r="A22" s="9" t="n">
        <v>20</v>
      </c>
      <c r="B22" s="9" t="s">
        <v>157</v>
      </c>
      <c r="C22" s="10" t="s">
        <v>158</v>
      </c>
      <c r="D22" s="10" t="s">
        <v>614</v>
      </c>
      <c r="E22" s="10" t="s">
        <v>158</v>
      </c>
      <c r="F22" s="10" t="s">
        <v>160</v>
      </c>
      <c r="G22" s="10" t="s">
        <v>615</v>
      </c>
      <c r="H22" s="11" t="s">
        <v>36</v>
      </c>
      <c r="I22" s="12" t="s">
        <v>158</v>
      </c>
      <c r="J22" s="11"/>
      <c r="K22" s="13" t="s">
        <v>616</v>
      </c>
      <c r="L22" s="0" t="s">
        <v>617</v>
      </c>
    </row>
    <row r="24" customFormat="false" ht="15" hidden="false" customHeight="true" outlineLevel="0" collapsed="false">
      <c r="A24" s="14" t="s">
        <v>165</v>
      </c>
    </row>
    <row r="25" customFormat="false" ht="15" hidden="false" customHeight="true" outlineLevel="0" collapsed="false">
      <c r="H25" s="15" t="s">
        <v>36</v>
      </c>
      <c r="I25" s="16" t="s">
        <v>166</v>
      </c>
      <c r="J25" s="15"/>
    </row>
  </sheetData>
  <autoFilter ref="A2:J22"/>
  <conditionalFormatting sqref="H3:H22">
    <cfRule type="cellIs" priority="2" operator="equal" aboveAverage="0" equalAverage="0" bottom="0" percent="0" rank="0" text="" dxfId="5">
      <formula>"OK"</formula>
    </cfRule>
    <cfRule type="cellIs" priority="3" operator="equal" aboveAverage="0" equalAverage="0" bottom="0" percent="0" rank="0" text="" dxfId="6">
      <formula>"部分"</formula>
    </cfRule>
    <cfRule type="cellIs" priority="4" operator="equal" aboveAverage="0" equalAverage="0" bottom="0" percent="0" rank="0" text="" dxfId="7">
      <formula>"NG"</formula>
    </cfRule>
  </conditionalFormatting>
  <dataValidations count="1">
    <dataValidation allowBlank="true" errorStyle="stop" operator="between" showDropDown="false" showErrorMessage="false" showInputMessage="false" sqref="H3:H22" type="list">
      <formula1>"OK,部分,NG"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6" min="2" style="1" width="8"/>
    <col collapsed="false" customWidth="true" hidden="false" outlineLevel="0" max="7" min="7" style="1" width="10"/>
  </cols>
  <sheetData>
    <row r="1" customFormat="false" ht="17.25" hidden="false" customHeight="true" outlineLevel="0" collapsed="false">
      <c r="A1" s="18" t="s">
        <v>618</v>
      </c>
    </row>
    <row r="2" customFormat="false" ht="15" hidden="false" customHeight="true" outlineLevel="0" collapsed="false">
      <c r="A2" s="19" t="s">
        <v>619</v>
      </c>
      <c r="B2" s="20" t="s">
        <v>620</v>
      </c>
      <c r="C2" s="20"/>
      <c r="D2" s="20"/>
      <c r="E2" s="20"/>
      <c r="F2" s="20"/>
    </row>
    <row r="3" customFormat="false" ht="15" hidden="false" customHeight="true" outlineLevel="0" collapsed="false">
      <c r="A3" s="19" t="s">
        <v>621</v>
      </c>
      <c r="B3" s="21" t="s">
        <v>622</v>
      </c>
      <c r="C3" s="21"/>
      <c r="D3" s="21"/>
      <c r="E3" s="21"/>
      <c r="F3" s="21"/>
    </row>
    <row r="4" customFormat="false" ht="15" hidden="false" customHeight="true" outlineLevel="0" collapsed="false">
      <c r="A4" s="22" t="s">
        <v>623</v>
      </c>
    </row>
    <row r="6" customFormat="false" ht="15" hidden="false" customHeight="true" outlineLevel="0" collapsed="false">
      <c r="A6" s="7" t="s">
        <v>624</v>
      </c>
      <c r="B6" s="7" t="s">
        <v>625</v>
      </c>
      <c r="C6" s="6" t="s">
        <v>36</v>
      </c>
      <c r="D6" s="7" t="s">
        <v>626</v>
      </c>
      <c r="E6" s="6" t="s">
        <v>627</v>
      </c>
      <c r="F6" s="7" t="s">
        <v>628</v>
      </c>
      <c r="G6" s="7" t="s">
        <v>629</v>
      </c>
    </row>
    <row r="7" customFormat="false" ht="15" hidden="false" customHeight="true" outlineLevel="0" collapsed="false">
      <c r="A7" s="23" t="s">
        <v>630</v>
      </c>
      <c r="B7" s="23" t="n">
        <v>20</v>
      </c>
      <c r="C7" s="23" t="n">
        <f aca="false">COUNTIF(06_新規出店計画!$H$3:$H$22,"OK")</f>
        <v>20</v>
      </c>
      <c r="D7" s="23" t="n">
        <f aca="false">COUNTIF(06_新規出店計画!$H$3:$H$22,"部分")</f>
        <v>0</v>
      </c>
      <c r="E7" s="23" t="n">
        <f aca="false">COUNTIF(06_新規出店計画!$H$3:$H$22,"NG")</f>
        <v>0</v>
      </c>
      <c r="F7" s="23" t="n">
        <f aca="false">B7-SUM(C7:E7)</f>
        <v>0</v>
      </c>
      <c r="G7" s="24" t="n">
        <f aca="false">IF(SUM(C7:E7)=0,"-",(C7+0.5*D7)/SUM(C7:E7))</f>
        <v>1</v>
      </c>
    </row>
    <row r="8" customFormat="false" ht="15" hidden="false" customHeight="true" outlineLevel="0" collapsed="false">
      <c r="A8" s="23" t="s">
        <v>631</v>
      </c>
      <c r="B8" s="23" t="n">
        <v>20</v>
      </c>
      <c r="C8" s="23" t="n">
        <f aca="false">COUNTIF(07_品質改善報告!$H$3:$H$22,"OK")</f>
        <v>20</v>
      </c>
      <c r="D8" s="23" t="n">
        <f aca="false">COUNTIF(07_品質改善報告!$H$3:$H$22,"部分")</f>
        <v>0</v>
      </c>
      <c r="E8" s="23" t="n">
        <f aca="false">COUNTIF(07_品質改善報告!$H$3:$H$22,"NG")</f>
        <v>0</v>
      </c>
      <c r="F8" s="23" t="n">
        <f aca="false">B8-SUM(C8:E8)</f>
        <v>0</v>
      </c>
      <c r="G8" s="24" t="n">
        <f aca="false">IF(SUM(C8:E8)=0,"-",(C8+0.5*D8)/SUM(C8:E8))</f>
        <v>1</v>
      </c>
    </row>
    <row r="9" customFormat="false" ht="15" hidden="false" customHeight="true" outlineLevel="0" collapsed="false">
      <c r="A9" s="23" t="s">
        <v>632</v>
      </c>
      <c r="B9" s="23" t="n">
        <v>20</v>
      </c>
      <c r="C9" s="23" t="n">
        <f aca="false">COUNTIF(08_デジタル広告!$H$3:$H$22,"OK")</f>
        <v>20</v>
      </c>
      <c r="D9" s="23" t="n">
        <f aca="false">COUNTIF(08_デジタル広告!$H$3:$H$22,"部分")</f>
        <v>0</v>
      </c>
      <c r="E9" s="23" t="n">
        <f aca="false">COUNTIF(08_デジタル広告!$H$3:$H$22,"NG")</f>
        <v>0</v>
      </c>
      <c r="F9" s="23" t="n">
        <f aca="false">B9-SUM(C9:E9)</f>
        <v>0</v>
      </c>
      <c r="G9" s="24" t="n">
        <f aca="false">IF(SUM(C9:E9)=0,"-",(C9+0.5*D9)/SUM(C9:E9))</f>
        <v>1</v>
      </c>
    </row>
    <row r="10" customFormat="false" ht="15" hidden="false" customHeight="true" outlineLevel="0" collapsed="false">
      <c r="A10" s="23" t="s">
        <v>633</v>
      </c>
      <c r="B10" s="23" t="n">
        <v>20</v>
      </c>
      <c r="C10" s="23" t="n">
        <f aca="false">COUNTIF(09_組織再編案!$H$3:$H$22,"OK")</f>
        <v>19</v>
      </c>
      <c r="D10" s="23" t="n">
        <f aca="false">COUNTIF(09_組織再編案!$H$3:$H$22,"部分")</f>
        <v>0</v>
      </c>
      <c r="E10" s="23" t="n">
        <f aca="false">COUNTIF(09_組織再編案!$H$3:$H$22,"NG")</f>
        <v>0</v>
      </c>
      <c r="F10" s="23" t="n">
        <f aca="false">B10-SUM(C10:E10)</f>
        <v>1</v>
      </c>
      <c r="G10" s="24" t="n">
        <f aca="false">IF(SUM(C10:E10)=0,"-",(C10+0.5*D10)/SUM(C10:E10))</f>
        <v>1</v>
      </c>
    </row>
    <row r="11" customFormat="false" ht="15" hidden="false" customHeight="true" outlineLevel="0" collapsed="false">
      <c r="A11" s="23" t="s">
        <v>634</v>
      </c>
      <c r="B11" s="23" t="n">
        <v>20</v>
      </c>
      <c r="C11" s="23" t="n">
        <f aca="false">COUNTIF(10_技術ロードマップ!$H$3:$H$22,"OK")</f>
        <v>20</v>
      </c>
      <c r="D11" s="23" t="n">
        <f aca="false">COUNTIF(10_技術ロードマップ!$H$3:$H$22,"部分")</f>
        <v>0</v>
      </c>
      <c r="E11" s="23" t="n">
        <f aca="false">COUNTIF(10_技術ロードマップ!$H$3:$H$22,"NG")</f>
        <v>0</v>
      </c>
      <c r="F11" s="23" t="n">
        <f aca="false">B11-SUM(C11:E11)</f>
        <v>0</v>
      </c>
      <c r="G11" s="24" t="n">
        <f aca="false">IF(SUM(C11:E11)=0,"-",(C11+0.5*D11)/SUM(C11:E11))</f>
        <v>1</v>
      </c>
    </row>
    <row r="12" customFormat="false" ht="15" hidden="false" customHeight="true" outlineLevel="0" collapsed="false">
      <c r="A12" s="19" t="s">
        <v>635</v>
      </c>
      <c r="B12" s="25" t="n">
        <f aca="false">SUM(B7:B11)</f>
        <v>100</v>
      </c>
      <c r="C12" s="25" t="n">
        <f aca="false">SUM(C7:C11)</f>
        <v>99</v>
      </c>
      <c r="D12" s="25" t="n">
        <f aca="false">SUM(D7:D11)</f>
        <v>0</v>
      </c>
      <c r="E12" s="25" t="n">
        <f aca="false">SUM(E7:E11)</f>
        <v>0</v>
      </c>
      <c r="F12" s="25" t="n">
        <f aca="false">SUM(F7:F11)</f>
        <v>1</v>
      </c>
      <c r="G12" s="26" t="n">
        <f aca="false">IF(SUM(C12:E12)=0,"-",(C12+0.5*D12)/SUM(C12:E12))</f>
        <v>1</v>
      </c>
    </row>
    <row r="14" customFormat="false" ht="15" hidden="false" customHeight="true" outlineLevel="0" collapsed="false">
      <c r="A14" s="4" t="s">
        <v>636</v>
      </c>
    </row>
    <row r="15" customFormat="false" ht="15" hidden="false" customHeight="true" outlineLevel="0" collapsed="false">
      <c r="A15" s="7" t="s">
        <v>20</v>
      </c>
      <c r="B15" s="7" t="s">
        <v>625</v>
      </c>
      <c r="C15" s="6" t="s">
        <v>36</v>
      </c>
      <c r="D15" s="7" t="s">
        <v>626</v>
      </c>
      <c r="E15" s="6" t="s">
        <v>627</v>
      </c>
      <c r="F15" s="7" t="s">
        <v>628</v>
      </c>
      <c r="G15" s="7" t="s">
        <v>629</v>
      </c>
    </row>
    <row r="16" customFormat="false" ht="15" hidden="false" customHeight="true" outlineLevel="0" collapsed="false">
      <c r="A16" s="27" t="s">
        <v>31</v>
      </c>
      <c r="B16" s="23" t="n">
        <f aca="false">COUNTIF(06_新規出店計画!$C$3:$C$22,$A16)+COUNTIF(07_品質改善報告!$C$3:$C$22,$A16)+COUNTIF(08_デジタル広告!$C$3:$C$22,$A16)+COUNTIF(09_組織再編案!$C$3:$C$22,$A16)+COUNTIF(10_技術ロードマップ!$C$3:$C$22,$A16)</f>
        <v>13</v>
      </c>
      <c r="C16" s="23" t="n">
        <f aca="false">COUNTIFS(06_新規出店計画!$C$3:$C$22,$A16,06_新規出店計画!$H$3:$H$22,"OK")+COUNTIFS(07_品質改善報告!$C$3:$C$22,$A16,07_品質改善報告!$H$3:$H$22,"OK")+COUNTIFS(08_デジタル広告!$C$3:$C$22,$A16,08_デジタル広告!$H$3:$H$22,"OK")+COUNTIFS(09_組織再編案!$C$3:$C$22,$A16,09_組織再編案!$H$3:$H$22,"OK")+COUNTIFS(10_技術ロードマップ!$C$3:$C$22,$A16,10_技術ロードマップ!$H$3:$H$22,"OK")</f>
        <v>13</v>
      </c>
      <c r="D16" s="23" t="n">
        <f aca="false">COUNTIFS(06_新規出店計画!$C$3:$C$22,$A16,06_新規出店計画!$H$3:$H$22,"部分")+COUNTIFS(07_品質改善報告!$C$3:$C$22,$A16,07_品質改善報告!$H$3:$H$22,"部分")+COUNTIFS(08_デジタル広告!$C$3:$C$22,$A16,08_デジタル広告!$H$3:$H$22,"部分")+COUNTIFS(09_組織再編案!$C$3:$C$22,$A16,09_組織再編案!$H$3:$H$22,"部分")+COUNTIFS(10_技術ロードマップ!$C$3:$C$22,$A16,10_技術ロードマップ!$H$3:$H$22,"部分")</f>
        <v>0</v>
      </c>
      <c r="E16" s="23" t="n">
        <f aca="false">COUNTIFS(06_新規出店計画!$C$3:$C$22,$A16,06_新規出店計画!$H$3:$H$22,"NG")+COUNTIFS(07_品質改善報告!$C$3:$C$22,$A16,07_品質改善報告!$H$3:$H$22,"NG")+COUNTIFS(08_デジタル広告!$C$3:$C$22,$A16,08_デジタル広告!$H$3:$H$22,"NG")+COUNTIFS(09_組織再編案!$C$3:$C$22,$A16,09_組織再編案!$H$3:$H$22,"NG")+COUNTIFS(10_技術ロードマップ!$C$3:$C$22,$A16,10_技術ロードマップ!$H$3:$H$22,"NG")</f>
        <v>0</v>
      </c>
      <c r="F16" s="23" t="n">
        <f aca="false">B16-SUM(C16:E16)</f>
        <v>0</v>
      </c>
      <c r="G16" s="24" t="n">
        <f aca="false">IF(SUM(C16:E16)=0,"-",(C16+0.5*D16)/SUM(C16:E16))</f>
        <v>1</v>
      </c>
    </row>
    <row r="17" customFormat="false" ht="15" hidden="false" customHeight="true" outlineLevel="0" collapsed="false">
      <c r="A17" s="27" t="s">
        <v>46</v>
      </c>
      <c r="B17" s="23" t="n">
        <f aca="false">COUNTIF(06_新規出店計画!$C$3:$C$22,$A17)+COUNTIF(07_品質改善報告!$C$3:$C$22,$A17)+COUNTIF(08_デジタル広告!$C$3:$C$22,$A17)+COUNTIF(09_組織再編案!$C$3:$C$22,$A17)+COUNTIF(10_技術ロードマップ!$C$3:$C$22,$A17)</f>
        <v>15</v>
      </c>
      <c r="C17" s="23" t="n">
        <f aca="false">COUNTIFS(06_新規出店計画!$C$3:$C$22,$A17,06_新規出店計画!$H$3:$H$22,"OK")+COUNTIFS(07_品質改善報告!$C$3:$C$22,$A17,07_品質改善報告!$H$3:$H$22,"OK")+COUNTIFS(08_デジタル広告!$C$3:$C$22,$A17,08_デジタル広告!$H$3:$H$22,"OK")+COUNTIFS(09_組織再編案!$C$3:$C$22,$A17,09_組織再編案!$H$3:$H$22,"OK")+COUNTIFS(10_技術ロードマップ!$C$3:$C$22,$A17,10_技術ロードマップ!$H$3:$H$22,"OK")</f>
        <v>15</v>
      </c>
      <c r="D17" s="23" t="n">
        <f aca="false">COUNTIFS(06_新規出店計画!$C$3:$C$22,$A17,06_新規出店計画!$H$3:$H$22,"部分")+COUNTIFS(07_品質改善報告!$C$3:$C$22,$A17,07_品質改善報告!$H$3:$H$22,"部分")+COUNTIFS(08_デジタル広告!$C$3:$C$22,$A17,08_デジタル広告!$H$3:$H$22,"部分")+COUNTIFS(09_組織再編案!$C$3:$C$22,$A17,09_組織再編案!$H$3:$H$22,"部分")+COUNTIFS(10_技術ロードマップ!$C$3:$C$22,$A17,10_技術ロードマップ!$H$3:$H$22,"部分")</f>
        <v>0</v>
      </c>
      <c r="E17" s="23" t="n">
        <f aca="false">COUNTIFS(06_新規出店計画!$C$3:$C$22,$A17,06_新規出店計画!$H$3:$H$22,"NG")+COUNTIFS(07_品質改善報告!$C$3:$C$22,$A17,07_品質改善報告!$H$3:$H$22,"NG")+COUNTIFS(08_デジタル広告!$C$3:$C$22,$A17,08_デジタル広告!$H$3:$H$22,"NG")+COUNTIFS(09_組織再編案!$C$3:$C$22,$A17,09_組織再編案!$H$3:$H$22,"NG")+COUNTIFS(10_技術ロードマップ!$C$3:$C$22,$A17,10_技術ロードマップ!$H$3:$H$22,"NG")</f>
        <v>0</v>
      </c>
      <c r="F17" s="23" t="n">
        <f aca="false">B17-SUM(C17:E17)</f>
        <v>0</v>
      </c>
      <c r="G17" s="24" t="n">
        <f aca="false">IF(SUM(C17:E17)=0,"-",(C17+0.5*D17)/SUM(C17:E17))</f>
        <v>1</v>
      </c>
    </row>
    <row r="18" customFormat="false" ht="15" hidden="false" customHeight="true" outlineLevel="0" collapsed="false">
      <c r="A18" s="27" t="s">
        <v>66</v>
      </c>
      <c r="B18" s="23" t="n">
        <f aca="false">COUNTIF(06_新規出店計画!$C$3:$C$22,$A18)+COUNTIF(07_品質改善報告!$C$3:$C$22,$A18)+COUNTIF(08_デジタル広告!$C$3:$C$22,$A18)+COUNTIF(09_組織再編案!$C$3:$C$22,$A18)+COUNTIF(10_技術ロードマップ!$C$3:$C$22,$A18)</f>
        <v>16</v>
      </c>
      <c r="C18" s="23" t="n">
        <f aca="false">COUNTIFS(06_新規出店計画!$C$3:$C$22,$A18,06_新規出店計画!$H$3:$H$22,"OK")+COUNTIFS(07_品質改善報告!$C$3:$C$22,$A18,07_品質改善報告!$H$3:$H$22,"OK")+COUNTIFS(08_デジタル広告!$C$3:$C$22,$A18,08_デジタル広告!$H$3:$H$22,"OK")+COUNTIFS(09_組織再編案!$C$3:$C$22,$A18,09_組織再編案!$H$3:$H$22,"OK")+COUNTIFS(10_技術ロードマップ!$C$3:$C$22,$A18,10_技術ロードマップ!$H$3:$H$22,"OK")</f>
        <v>16</v>
      </c>
      <c r="D18" s="23" t="n">
        <f aca="false">COUNTIFS(06_新規出店計画!$C$3:$C$22,$A18,06_新規出店計画!$H$3:$H$22,"部分")+COUNTIFS(07_品質改善報告!$C$3:$C$22,$A18,07_品質改善報告!$H$3:$H$22,"部分")+COUNTIFS(08_デジタル広告!$C$3:$C$22,$A18,08_デジタル広告!$H$3:$H$22,"部分")+COUNTIFS(09_組織再編案!$C$3:$C$22,$A18,09_組織再編案!$H$3:$H$22,"部分")+COUNTIFS(10_技術ロードマップ!$C$3:$C$22,$A18,10_技術ロードマップ!$H$3:$H$22,"部分")</f>
        <v>0</v>
      </c>
      <c r="E18" s="23" t="n">
        <f aca="false">COUNTIFS(06_新規出店計画!$C$3:$C$22,$A18,06_新規出店計画!$H$3:$H$22,"NG")+COUNTIFS(07_品質改善報告!$C$3:$C$22,$A18,07_品質改善報告!$H$3:$H$22,"NG")+COUNTIFS(08_デジタル広告!$C$3:$C$22,$A18,08_デジタル広告!$H$3:$H$22,"NG")+COUNTIFS(09_組織再編案!$C$3:$C$22,$A18,09_組織再編案!$H$3:$H$22,"NG")+COUNTIFS(10_技術ロードマップ!$C$3:$C$22,$A18,10_技術ロードマップ!$H$3:$H$22,"NG")</f>
        <v>0</v>
      </c>
      <c r="F18" s="23" t="n">
        <f aca="false">B18-SUM(C18:E18)</f>
        <v>0</v>
      </c>
      <c r="G18" s="24" t="n">
        <f aca="false">IF(SUM(C18:E18)=0,"-",(C18+0.5*D18)/SUM(C18:E18))</f>
        <v>1</v>
      </c>
    </row>
    <row r="19" customFormat="false" ht="15" hidden="false" customHeight="true" outlineLevel="0" collapsed="false">
      <c r="A19" s="27" t="s">
        <v>75</v>
      </c>
      <c r="B19" s="23" t="n">
        <f aca="false">COUNTIF(06_新規出店計画!$C$3:$C$22,$A19)+COUNTIF(07_品質改善報告!$C$3:$C$22,$A19)+COUNTIF(08_デジタル広告!$C$3:$C$22,$A19)+COUNTIF(09_組織再編案!$C$3:$C$22,$A19)+COUNTIF(10_技術ロードマップ!$C$3:$C$22,$A19)</f>
        <v>11</v>
      </c>
      <c r="C19" s="23" t="n">
        <f aca="false">COUNTIFS(06_新規出店計画!$C$3:$C$22,$A19,06_新規出店計画!$H$3:$H$22,"OK")+COUNTIFS(07_品質改善報告!$C$3:$C$22,$A19,07_品質改善報告!$H$3:$H$22,"OK")+COUNTIFS(08_デジタル広告!$C$3:$C$22,$A19,08_デジタル広告!$H$3:$H$22,"OK")+COUNTIFS(09_組織再編案!$C$3:$C$22,$A19,09_組織再編案!$H$3:$H$22,"OK")+COUNTIFS(10_技術ロードマップ!$C$3:$C$22,$A19,10_技術ロードマップ!$H$3:$H$22,"OK")</f>
        <v>10</v>
      </c>
      <c r="D19" s="23" t="n">
        <f aca="false">COUNTIFS(06_新規出店計画!$C$3:$C$22,$A19,06_新規出店計画!$H$3:$H$22,"部分")+COUNTIFS(07_品質改善報告!$C$3:$C$22,$A19,07_品質改善報告!$H$3:$H$22,"部分")+COUNTIFS(08_デジタル広告!$C$3:$C$22,$A19,08_デジタル広告!$H$3:$H$22,"部分")+COUNTIFS(09_組織再編案!$C$3:$C$22,$A19,09_組織再編案!$H$3:$H$22,"部分")+COUNTIFS(10_技術ロードマップ!$C$3:$C$22,$A19,10_技術ロードマップ!$H$3:$H$22,"部分")</f>
        <v>0</v>
      </c>
      <c r="E19" s="23" t="n">
        <f aca="false">COUNTIFS(06_新規出店計画!$C$3:$C$22,$A19,06_新規出店計画!$H$3:$H$22,"NG")+COUNTIFS(07_品質改善報告!$C$3:$C$22,$A19,07_品質改善報告!$H$3:$H$22,"NG")+COUNTIFS(08_デジタル広告!$C$3:$C$22,$A19,08_デジタル広告!$H$3:$H$22,"NG")+COUNTIFS(09_組織再編案!$C$3:$C$22,$A19,09_組織再編案!$H$3:$H$22,"NG")+COUNTIFS(10_技術ロードマップ!$C$3:$C$22,$A19,10_技術ロードマップ!$H$3:$H$22,"NG")</f>
        <v>0</v>
      </c>
      <c r="F19" s="23" t="n">
        <f aca="false">B19-SUM(C19:E19)</f>
        <v>1</v>
      </c>
      <c r="G19" s="24" t="n">
        <f aca="false">IF(SUM(C19:E19)=0,"-",(C19+0.5*D19)/SUM(C19:E19))</f>
        <v>1</v>
      </c>
    </row>
    <row r="20" customFormat="false" ht="15" hidden="false" customHeight="true" outlineLevel="0" collapsed="false">
      <c r="A20" s="27" t="s">
        <v>94</v>
      </c>
      <c r="B20" s="23" t="n">
        <f aca="false">COUNTIF(06_新規出店計画!$C$3:$C$22,$A20)+COUNTIF(07_品質改善報告!$C$3:$C$22,$A20)+COUNTIF(08_デジタル広告!$C$3:$C$22,$A20)+COUNTIF(09_組織再編案!$C$3:$C$22,$A20)+COUNTIF(10_技術ロードマップ!$C$3:$C$22,$A20)</f>
        <v>8</v>
      </c>
      <c r="C20" s="23" t="n">
        <f aca="false">COUNTIFS(06_新規出店計画!$C$3:$C$22,$A20,06_新規出店計画!$H$3:$H$22,"OK")+COUNTIFS(07_品質改善報告!$C$3:$C$22,$A20,07_品質改善報告!$H$3:$H$22,"OK")+COUNTIFS(08_デジタル広告!$C$3:$C$22,$A20,08_デジタル広告!$H$3:$H$22,"OK")+COUNTIFS(09_組織再編案!$C$3:$C$22,$A20,09_組織再編案!$H$3:$H$22,"OK")+COUNTIFS(10_技術ロードマップ!$C$3:$C$22,$A20,10_技術ロードマップ!$H$3:$H$22,"OK")</f>
        <v>8</v>
      </c>
      <c r="D20" s="23" t="n">
        <f aca="false">COUNTIFS(06_新規出店計画!$C$3:$C$22,$A20,06_新規出店計画!$H$3:$H$22,"部分")+COUNTIFS(07_品質改善報告!$C$3:$C$22,$A20,07_品質改善報告!$H$3:$H$22,"部分")+COUNTIFS(08_デジタル広告!$C$3:$C$22,$A20,08_デジタル広告!$H$3:$H$22,"部分")+COUNTIFS(09_組織再編案!$C$3:$C$22,$A20,09_組織再編案!$H$3:$H$22,"部分")+COUNTIFS(10_技術ロードマップ!$C$3:$C$22,$A20,10_技術ロードマップ!$H$3:$H$22,"部分")</f>
        <v>0</v>
      </c>
      <c r="E20" s="23" t="n">
        <f aca="false">COUNTIFS(06_新規出店計画!$C$3:$C$22,$A20,06_新規出店計画!$H$3:$H$22,"NG")+COUNTIFS(07_品質改善報告!$C$3:$C$22,$A20,07_品質改善報告!$H$3:$H$22,"NG")+COUNTIFS(08_デジタル広告!$C$3:$C$22,$A20,08_デジタル広告!$H$3:$H$22,"NG")+COUNTIFS(09_組織再編案!$C$3:$C$22,$A20,09_組織再編案!$H$3:$H$22,"NG")+COUNTIFS(10_技術ロードマップ!$C$3:$C$22,$A20,10_技術ロードマップ!$H$3:$H$22,"NG")</f>
        <v>0</v>
      </c>
      <c r="F20" s="23" t="n">
        <f aca="false">B20-SUM(C20:E20)</f>
        <v>0</v>
      </c>
      <c r="G20" s="24" t="n">
        <f aca="false">IF(SUM(C20:E20)=0,"-",(C20+0.5*D20)/SUM(C20:E20))</f>
        <v>1</v>
      </c>
    </row>
    <row r="21" customFormat="false" ht="15" hidden="false" customHeight="true" outlineLevel="0" collapsed="false">
      <c r="A21" s="27" t="s">
        <v>100</v>
      </c>
      <c r="B21" s="23" t="n">
        <f aca="false">COUNTIF(06_新規出店計画!$C$3:$C$22,$A21)+COUNTIF(07_品質改善報告!$C$3:$C$22,$A21)+COUNTIF(08_デジタル広告!$C$3:$C$22,$A21)+COUNTIF(09_組織再編案!$C$3:$C$22,$A21)+COUNTIF(10_技術ロードマップ!$C$3:$C$22,$A21)</f>
        <v>10</v>
      </c>
      <c r="C21" s="23" t="n">
        <f aca="false">COUNTIFS(06_新規出店計画!$C$3:$C$22,$A21,06_新規出店計画!$H$3:$H$22,"OK")+COUNTIFS(07_品質改善報告!$C$3:$C$22,$A21,07_品質改善報告!$H$3:$H$22,"OK")+COUNTIFS(08_デジタル広告!$C$3:$C$22,$A21,08_デジタル広告!$H$3:$H$22,"OK")+COUNTIFS(09_組織再編案!$C$3:$C$22,$A21,09_組織再編案!$H$3:$H$22,"OK")+COUNTIFS(10_技術ロードマップ!$C$3:$C$22,$A21,10_技術ロードマップ!$H$3:$H$22,"OK")</f>
        <v>10</v>
      </c>
      <c r="D21" s="23" t="n">
        <f aca="false">COUNTIFS(06_新規出店計画!$C$3:$C$22,$A21,06_新規出店計画!$H$3:$H$22,"部分")+COUNTIFS(07_品質改善報告!$C$3:$C$22,$A21,07_品質改善報告!$H$3:$H$22,"部分")+COUNTIFS(08_デジタル広告!$C$3:$C$22,$A21,08_デジタル広告!$H$3:$H$22,"部分")+COUNTIFS(09_組織再編案!$C$3:$C$22,$A21,09_組織再編案!$H$3:$H$22,"部分")+COUNTIFS(10_技術ロードマップ!$C$3:$C$22,$A21,10_技術ロードマップ!$H$3:$H$22,"部分")</f>
        <v>0</v>
      </c>
      <c r="E21" s="23" t="n">
        <f aca="false">COUNTIFS(06_新規出店計画!$C$3:$C$22,$A21,06_新規出店計画!$H$3:$H$22,"NG")+COUNTIFS(07_品質改善報告!$C$3:$C$22,$A21,07_品質改善報告!$H$3:$H$22,"NG")+COUNTIFS(08_デジタル広告!$C$3:$C$22,$A21,08_デジタル広告!$H$3:$H$22,"NG")+COUNTIFS(09_組織再編案!$C$3:$C$22,$A21,09_組織再編案!$H$3:$H$22,"NG")+COUNTIFS(10_技術ロードマップ!$C$3:$C$22,$A21,10_技術ロードマップ!$H$3:$H$22,"NG")</f>
        <v>0</v>
      </c>
      <c r="F21" s="23" t="n">
        <f aca="false">B21-SUM(C21:E21)</f>
        <v>0</v>
      </c>
      <c r="G21" s="24" t="n">
        <f aca="false">IF(SUM(C21:E21)=0,"-",(C21+0.5*D21)/SUM(C21:E21))</f>
        <v>1</v>
      </c>
    </row>
    <row r="22" customFormat="false" ht="15" hidden="false" customHeight="true" outlineLevel="0" collapsed="false">
      <c r="A22" s="27" t="s">
        <v>114</v>
      </c>
      <c r="B22" s="23" t="n">
        <f aca="false">COUNTIF(06_新規出店計画!$C$3:$C$22,$A22)+COUNTIF(07_品質改善報告!$C$3:$C$22,$A22)+COUNTIF(08_デジタル広告!$C$3:$C$22,$A22)+COUNTIF(09_組織再編案!$C$3:$C$22,$A22)+COUNTIF(10_技術ロードマップ!$C$3:$C$22,$A22)</f>
        <v>23</v>
      </c>
      <c r="C22" s="23" t="n">
        <f aca="false">COUNTIFS(06_新規出店計画!$C$3:$C$22,$A22,06_新規出店計画!$H$3:$H$22,"OK")+COUNTIFS(07_品質改善報告!$C$3:$C$22,$A22,07_品質改善報告!$H$3:$H$22,"OK")+COUNTIFS(08_デジタル広告!$C$3:$C$22,$A22,08_デジタル広告!$H$3:$H$22,"OK")+COUNTIFS(09_組織再編案!$C$3:$C$22,$A22,09_組織再編案!$H$3:$H$22,"OK")+COUNTIFS(10_技術ロードマップ!$C$3:$C$22,$A22,10_技術ロードマップ!$H$3:$H$22,"OK")</f>
        <v>23</v>
      </c>
      <c r="D22" s="23" t="n">
        <f aca="false">COUNTIFS(06_新規出店計画!$C$3:$C$22,$A22,06_新規出店計画!$H$3:$H$22,"部分")+COUNTIFS(07_品質改善報告!$C$3:$C$22,$A22,07_品質改善報告!$H$3:$H$22,"部分")+COUNTIFS(08_デジタル広告!$C$3:$C$22,$A22,08_デジタル広告!$H$3:$H$22,"部分")+COUNTIFS(09_組織再編案!$C$3:$C$22,$A22,09_組織再編案!$H$3:$H$22,"部分")+COUNTIFS(10_技術ロードマップ!$C$3:$C$22,$A22,10_技術ロードマップ!$H$3:$H$22,"部分")</f>
        <v>0</v>
      </c>
      <c r="E22" s="23" t="n">
        <f aca="false">COUNTIFS(06_新規出店計画!$C$3:$C$22,$A22,06_新規出店計画!$H$3:$H$22,"NG")+COUNTIFS(07_品質改善報告!$C$3:$C$22,$A22,07_品質改善報告!$H$3:$H$22,"NG")+COUNTIFS(08_デジタル広告!$C$3:$C$22,$A22,08_デジタル広告!$H$3:$H$22,"NG")+COUNTIFS(09_組織再編案!$C$3:$C$22,$A22,09_組織再編案!$H$3:$H$22,"NG")+COUNTIFS(10_技術ロードマップ!$C$3:$C$22,$A22,10_技術ロードマップ!$H$3:$H$22,"NG")</f>
        <v>0</v>
      </c>
      <c r="F22" s="23" t="n">
        <f aca="false">B22-SUM(C22:E22)</f>
        <v>0</v>
      </c>
      <c r="G22" s="24" t="n">
        <f aca="false">IF(SUM(C22:E22)=0,"-",(C22+0.5*D22)/SUM(C22:E22))</f>
        <v>1</v>
      </c>
    </row>
    <row r="23" customFormat="false" ht="15" hidden="false" customHeight="true" outlineLevel="0" collapsed="false">
      <c r="A23" s="27" t="s">
        <v>158</v>
      </c>
      <c r="B23" s="23" t="n">
        <f aca="false">COUNTIF(06_新規出店計画!$C$3:$C$22,$A23)+COUNTIF(07_品質改善報告!$C$3:$C$22,$A23)+COUNTIF(08_デジタル広告!$C$3:$C$22,$A23)+COUNTIF(09_組織再編案!$C$3:$C$22,$A23)+COUNTIF(10_技術ロードマップ!$C$3:$C$22,$A23)</f>
        <v>3</v>
      </c>
      <c r="C23" s="23" t="n">
        <f aca="false">COUNTIFS(06_新規出店計画!$C$3:$C$22,$A23,06_新規出店計画!$H$3:$H$22,"OK")+COUNTIFS(07_品質改善報告!$C$3:$C$22,$A23,07_品質改善報告!$H$3:$H$22,"OK")+COUNTIFS(08_デジタル広告!$C$3:$C$22,$A23,08_デジタル広告!$H$3:$H$22,"OK")+COUNTIFS(09_組織再編案!$C$3:$C$22,$A23,09_組織再編案!$H$3:$H$22,"OK")+COUNTIFS(10_技術ロードマップ!$C$3:$C$22,$A23,10_技術ロードマップ!$H$3:$H$22,"OK")</f>
        <v>3</v>
      </c>
      <c r="D23" s="23" t="n">
        <f aca="false">COUNTIFS(06_新規出店計画!$C$3:$C$22,$A23,06_新規出店計画!$H$3:$H$22,"部分")+COUNTIFS(07_品質改善報告!$C$3:$C$22,$A23,07_品質改善報告!$H$3:$H$22,"部分")+COUNTIFS(08_デジタル広告!$C$3:$C$22,$A23,08_デジタル広告!$H$3:$H$22,"部分")+COUNTIFS(09_組織再編案!$C$3:$C$22,$A23,09_組織再編案!$H$3:$H$22,"部分")+COUNTIFS(10_技術ロードマップ!$C$3:$C$22,$A23,10_技術ロードマップ!$H$3:$H$22,"部分")</f>
        <v>0</v>
      </c>
      <c r="E23" s="23" t="n">
        <f aca="false">COUNTIFS(06_新規出店計画!$C$3:$C$22,$A23,06_新規出店計画!$H$3:$H$22,"NG")+COUNTIFS(07_品質改善報告!$C$3:$C$22,$A23,07_品質改善報告!$H$3:$H$22,"NG")+COUNTIFS(08_デジタル広告!$C$3:$C$22,$A23,08_デジタル広告!$H$3:$H$22,"NG")+COUNTIFS(09_組織再編案!$C$3:$C$22,$A23,09_組織再編案!$H$3:$H$22,"NG")+COUNTIFS(10_技術ロードマップ!$C$3:$C$22,$A23,10_技術ロードマップ!$H$3:$H$22,"NG")</f>
        <v>0</v>
      </c>
      <c r="F23" s="23" t="n">
        <f aca="false">B23-SUM(C23:E23)</f>
        <v>0</v>
      </c>
      <c r="G23" s="24" t="n">
        <f aca="false">IF(SUM(C23:E23)=0,"-",(C23+0.5*D23)/SUM(C23:E23))</f>
        <v>1</v>
      </c>
    </row>
    <row r="24" customFormat="false" ht="15" hidden="false" customHeight="true" outlineLevel="0" collapsed="false">
      <c r="A24" s="27" t="s">
        <v>168</v>
      </c>
      <c r="B24" s="23" t="n">
        <f aca="false">COUNTIF(06_新規出店計画!$C$3:$C$22,$A24)+COUNTIF(07_品質改善報告!$C$3:$C$22,$A24)+COUNTIF(08_デジタル広告!$C$3:$C$22,$A24)+COUNTIF(09_組織再編案!$C$3:$C$22,$A24)+COUNTIF(10_技術ロードマップ!$C$3:$C$22,$A24)</f>
        <v>1</v>
      </c>
      <c r="C24" s="23" t="n">
        <f aca="false">COUNTIFS(06_新規出店計画!$C$3:$C$22,$A24,06_新規出店計画!$H$3:$H$22,"OK")+COUNTIFS(07_品質改善報告!$C$3:$C$22,$A24,07_品質改善報告!$H$3:$H$22,"OK")+COUNTIFS(08_デジタル広告!$C$3:$C$22,$A24,08_デジタル広告!$H$3:$H$22,"OK")+COUNTIFS(09_組織再編案!$C$3:$C$22,$A24,09_組織再編案!$H$3:$H$22,"OK")+COUNTIFS(10_技術ロードマップ!$C$3:$C$22,$A24,10_技術ロードマップ!$H$3:$H$22,"OK")</f>
        <v>1</v>
      </c>
      <c r="D24" s="23" t="n">
        <f aca="false">COUNTIFS(06_新規出店計画!$C$3:$C$22,$A24,06_新規出店計画!$H$3:$H$22,"部分")+COUNTIFS(07_品質改善報告!$C$3:$C$22,$A24,07_品質改善報告!$H$3:$H$22,"部分")+COUNTIFS(08_デジタル広告!$C$3:$C$22,$A24,08_デジタル広告!$H$3:$H$22,"部分")+COUNTIFS(09_組織再編案!$C$3:$C$22,$A24,09_組織再編案!$H$3:$H$22,"部分")+COUNTIFS(10_技術ロードマップ!$C$3:$C$22,$A24,10_技術ロードマップ!$H$3:$H$22,"部分")</f>
        <v>0</v>
      </c>
      <c r="E24" s="23" t="n">
        <f aca="false">COUNTIFS(06_新規出店計画!$C$3:$C$22,$A24,06_新規出店計画!$H$3:$H$22,"NG")+COUNTIFS(07_品質改善報告!$C$3:$C$22,$A24,07_品質改善報告!$H$3:$H$22,"NG")+COUNTIFS(08_デジタル広告!$C$3:$C$22,$A24,08_デジタル広告!$H$3:$H$22,"NG")+COUNTIFS(09_組織再編案!$C$3:$C$22,$A24,09_組織再編案!$H$3:$H$22,"NG")+COUNTIFS(10_技術ロードマップ!$C$3:$C$22,$A24,10_技術ロードマップ!$H$3:$H$22,"NG")</f>
        <v>0</v>
      </c>
      <c r="F24" s="23" t="n">
        <f aca="false">B24-SUM(C24:E24)</f>
        <v>0</v>
      </c>
      <c r="G24" s="24" t="n">
        <f aca="false">IF(SUM(C24:E24)=0,"-",(C24+0.5*D24)/SUM(C24:E24))</f>
        <v>1</v>
      </c>
    </row>
    <row r="26" customFormat="false" ht="15" hidden="false" customHeight="false" outlineLevel="0" collapsed="false">
      <c r="A26" s="28" t="s">
        <v>637</v>
      </c>
    </row>
  </sheetData>
  <mergeCells count="2">
    <mergeCell ref="B2:F2"/>
    <mergeCell ref="B3:F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2026-10-30T07:22:04Z</dcterms:created>
  <dc:creator>openpyxl</dc:creator>
  <dc:description/>
  <dc:language>en-US</dc:language>
  <cp:lastModifiedBy/>
  <dcterms:modified xsi:type="dcterms:W3CDTF">2026-10-30T08:18:15Z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