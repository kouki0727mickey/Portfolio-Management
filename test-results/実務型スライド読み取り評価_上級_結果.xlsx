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使い方" sheetId="1" state="visible" r:id="rId3"/>
    <sheet name="06_新規出店計画" sheetId="2" state="visible" r:id="rId4"/>
    <sheet name="07_品質改善報告" sheetId="3" state="visible" r:id="rId5"/>
    <sheet name="08_デジタル広告" sheetId="4" state="visible" r:id="rId6"/>
    <sheet name="09_組織再編案" sheetId="5" state="visible" r:id="rId7"/>
    <sheet name="10_技術ロードマップ" sheetId="6" state="visible" r:id="rId8"/>
    <sheet name="集計" sheetId="7" state="visible" r:id="rId9"/>
  </sheets>
  <definedNames>
    <definedName function="false" hidden="true" localSheetId="1" name="_xlnm._FilterDatabase" vbProcedure="false">06_新規出店計画!$A$2:$J$22</definedName>
    <definedName function="false" hidden="true" localSheetId="2" name="_xlnm._FilterDatabase" vbProcedure="false">07_品質改善報告!$A$2:$J$22</definedName>
    <definedName function="false" hidden="true" localSheetId="3" name="_xlnm._FilterDatabase" vbProcedure="false">08_デジタル広告!$A$2:$J$22</definedName>
    <definedName function="false" hidden="true" localSheetId="4" name="_xlnm._FilterDatabase" vbProcedure="false">09_組織再編案!$A$2:$J$22</definedName>
    <definedName function="false" hidden="true" localSheetId="5" name="_xlnm._FilterDatabase" vbProcedure="false">10_技術ロードマップ!$A$2:$J$22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<sst xmlns="http://schemas.openxmlformats.org/spreadsheetml/2006/main" count="1139" uniqueCount="618">
  <si>
    <t xml:space="preserve">実務型スライド 読み取り評価【上級】（5ファイル × 20問 ＝ 100問）</t>
  </si>
  <si>
    <t xml:space="preserve">■ 対象ファイル</t>
  </si>
  <si>
    <t xml:space="preserve">・06_新規出店計画.pptx（地図・バブルチャート・リンク・トリミング画像など、10枚）</t>
  </si>
  <si>
    <t xml:space="preserve">・07_品質改善報告_8D.pptx（計器写真・スキャン文書・パレート図・管理図など、10枚）</t>
  </si>
  <si>
    <t xml:space="preserve">・08_デジタル広告_効果検証.pptx（背景の透かし・ファネル・複合グラフ・埋め込みExcelなど、10枚）</t>
  </si>
  <si>
    <t xml:space="preserve">・09_組織再編案.pptx（レイアウト上の版数・セクション・ベン図・親和図など、10枚）</t>
  </si>
  <si>
    <t xml:space="preserve">・10_技術開発ロードマップ.pptx（対数軸・逆順軸・化学式・SVG画像など、10枚）</t>
  </si>
  <si>
    <t xml:space="preserve">■ 進め方</t>
  </si>
  <si>
    <r>
      <rPr>
        <sz val="10"/>
        <rFont val="Meiryo UI"/>
        <family val="0"/>
        <charset val="1"/>
      </rPr>
      <t xml:space="preserve">1. </t>
    </r>
    <r>
      <rPr>
        <sz val="10"/>
        <rFont val="WenQuanYi Zen Hei"/>
        <family val="2"/>
      </rPr>
      <t xml:space="preserve">ファイルごとのシートを開き、そのファイル全体（</t>
    </r>
    <r>
      <rPr>
        <sz val="10"/>
        <rFont val="Meiryo UI"/>
        <family val="0"/>
        <charset val="1"/>
      </rPr>
      <t xml:space="preserve">10</t>
    </r>
    <r>
      <rPr>
        <sz val="10"/>
        <rFont val="WenQuanYi Zen Hei"/>
        <family val="2"/>
      </rPr>
      <t xml:space="preserve">枚）を</t>
    </r>
    <r>
      <rPr>
        <sz val="10"/>
        <rFont val="Meiryo UI"/>
        <family val="0"/>
        <charset val="1"/>
      </rPr>
      <t xml:space="preserve">LLM</t>
    </r>
    <r>
      <rPr>
        <sz val="10"/>
        <rFont val="WenQuanYi Zen Hei"/>
        <family val="2"/>
      </rPr>
      <t xml:space="preserve">に入力する。</t>
    </r>
  </si>
  <si>
    <r>
      <rPr>
        <sz val="10"/>
        <rFont val="Meiryo UI"/>
        <family val="0"/>
        <charset val="1"/>
      </rPr>
      <t xml:space="preserve">2. </t>
    </r>
    <r>
      <rPr>
        <sz val="10"/>
        <rFont val="WenQuanYi Zen Hei"/>
        <family val="2"/>
      </rPr>
      <t xml:space="preserve">『質問』列の文章をそのまま</t>
    </r>
    <r>
      <rPr>
        <sz val="10"/>
        <rFont val="Meiryo UI"/>
        <family val="0"/>
        <charset val="1"/>
      </rPr>
      <t xml:space="preserve">1</t>
    </r>
    <r>
      <rPr>
        <sz val="10"/>
        <rFont val="WenQuanYi Zen Hei"/>
        <family val="2"/>
      </rPr>
      <t xml:space="preserve">問ずつ質問する。</t>
    </r>
    <r>
      <rPr>
        <sz val="10"/>
        <rFont val="Meiryo UI"/>
        <family val="0"/>
        <charset val="1"/>
      </rPr>
      <t xml:space="preserve">1</t>
    </r>
    <r>
      <rPr>
        <sz val="10"/>
        <rFont val="WenQuanYi Zen Hei"/>
        <family val="2"/>
      </rPr>
      <t xml:space="preserve">問ごとに新しいセッションで、ファイルを入力し直すのが望ましい（前の回答がヒントになるのを防ぐ）。</t>
    </r>
  </si>
  <si>
    <r>
      <rPr>
        <sz val="10"/>
        <rFont val="Meiryo UI"/>
        <family val="0"/>
        <charset val="1"/>
      </rPr>
      <t xml:space="preserve">3. </t>
    </r>
    <r>
      <rPr>
        <sz val="10"/>
        <rFont val="WenQuanYi Zen Hei"/>
        <family val="2"/>
      </rPr>
      <t xml:space="preserve">黄色セルに記入：判定（</t>
    </r>
    <r>
      <rPr>
        <sz val="10"/>
        <rFont val="Meiryo UI"/>
        <family val="0"/>
        <charset val="1"/>
      </rPr>
      <t xml:space="preserve">OK</t>
    </r>
    <r>
      <rPr>
        <sz val="10"/>
        <rFont val="WenQuanYi Zen Hei"/>
        <family val="2"/>
      </rPr>
      <t xml:space="preserve">／部分／</t>
    </r>
    <r>
      <rPr>
        <sz val="10"/>
        <rFont val="Meiryo UI"/>
        <family val="0"/>
        <charset val="1"/>
      </rPr>
      <t xml:space="preserve">NG</t>
    </r>
    <r>
      <rPr>
        <sz val="10"/>
        <rFont val="WenQuanYi Zen Hei"/>
        <family val="2"/>
      </rPr>
      <t xml:space="preserve">）、</t>
    </r>
    <r>
      <rPr>
        <sz val="10"/>
        <rFont val="Meiryo UI"/>
        <family val="0"/>
        <charset val="1"/>
      </rPr>
      <t xml:space="preserve">LLM</t>
    </r>
    <r>
      <rPr>
        <sz val="10"/>
        <rFont val="WenQuanYi Zen Hei"/>
        <family val="2"/>
      </rPr>
      <t xml:space="preserve">の回答（要点）、備考。</t>
    </r>
  </si>
  <si>
    <r>
      <rPr>
        <sz val="10"/>
        <rFont val="Meiryo UI"/>
        <family val="0"/>
        <charset val="1"/>
      </rPr>
      <t xml:space="preserve">4. </t>
    </r>
    <r>
      <rPr>
        <sz val="10"/>
        <rFont val="WenQuanYi Zen Hei"/>
        <family val="2"/>
      </rPr>
      <t xml:space="preserve">『集計』シートにファイル別・問題種別ごとの正答率が出る（</t>
    </r>
    <r>
      <rPr>
        <sz val="10"/>
        <rFont val="Meiryo UI"/>
        <family val="0"/>
        <charset val="1"/>
      </rPr>
      <t xml:space="preserve">OK=1</t>
    </r>
    <r>
      <rPr>
        <sz val="10"/>
        <rFont val="WenQuanYi Zen Hei"/>
        <family val="2"/>
      </rPr>
      <t xml:space="preserve">点、部分</t>
    </r>
    <r>
      <rPr>
        <sz val="10"/>
        <rFont val="Meiryo UI"/>
        <family val="0"/>
        <charset val="1"/>
      </rPr>
      <t xml:space="preserve">=0.5</t>
    </r>
    <r>
      <rPr>
        <sz val="10"/>
        <rFont val="WenQuanYi Zen Hei"/>
        <family val="2"/>
      </rPr>
      <t xml:space="preserve">点）。</t>
    </r>
  </si>
  <si>
    <t xml:space="preserve">■ 問題種別</t>
  </si>
  <si>
    <t xml:space="preserve">問題種別は各シートの『問題種別』列を参照。スライド上に見えない情報（代替テキスト・リンク先・レイアウト・セクション・埋め込みファイル・ノート）や、画像・図形の位置関係を読み取る問題を多く含む。</t>
  </si>
  <si>
    <t xml:space="preserve">■ 実施ルール</t>
  </si>
  <si>
    <t xml:space="preserve">・LLMへの前置き（システムプロンプト）は全問で統一し、『推測しないで』等の指示は入れない（『記載なし』問題で補完傾向を見るため）。</t>
  </si>
  <si>
    <t xml:space="preserve">・『根拠』列は正解の出どころ（スライド番号と要素）。採点時の確認用で、LLMには見せない。</t>
  </si>
  <si>
    <t xml:space="preserve">対象：06_新規出店計画.pptx（10枚）</t>
  </si>
  <si>
    <t xml:space="preserve">No.</t>
  </si>
  <si>
    <t xml:space="preserve">出題スライド</t>
  </si>
  <si>
    <t xml:space="preserve">問題種別</t>
  </si>
  <si>
    <t xml:space="preserve">質問（コピペ用）</t>
  </si>
  <si>
    <t xml:space="preserve">正解</t>
  </si>
  <si>
    <t xml:space="preserve">判定基準</t>
  </si>
  <si>
    <t xml:space="preserve">根拠（採点用）</t>
  </si>
  <si>
    <t xml:space="preserve">判定</t>
  </si>
  <si>
    <r>
      <rPr>
        <b val="true"/>
        <sz val="10"/>
        <color rgb="FFFFFFFF"/>
        <rFont val="Meiryo UI"/>
        <family val="0"/>
        <charset val="1"/>
      </rPr>
      <t xml:space="preserve">LLM</t>
    </r>
    <r>
      <rPr>
        <b val="true"/>
        <sz val="10"/>
        <color rgb="FFFFFFFF"/>
        <rFont val="WenQuanYi Zen Hei"/>
        <family val="2"/>
      </rPr>
      <t xml:space="preserve">の回答</t>
    </r>
  </si>
  <si>
    <t xml:space="preserve">備考</t>
  </si>
  <si>
    <r>
      <rPr>
        <sz val="11"/>
        <color theme="1"/>
        <rFont val="Calibri"/>
        <family val="2"/>
        <charset val="1"/>
      </rPr>
      <t xml:space="preserve">LLM</t>
    </r>
    <r>
      <rPr>
        <sz val="11"/>
        <color theme="1"/>
        <rFont val="WenQuanYi Zen Hei"/>
        <family val="2"/>
      </rPr>
      <t xml:space="preserve">の回答（生値）</t>
    </r>
  </si>
  <si>
    <t xml:space="preserve">テストID</t>
  </si>
  <si>
    <t xml:space="preserve">P2</t>
  </si>
  <si>
    <t xml:space="preserve">書式・文字装飾</t>
  </si>
  <si>
    <t xml:space="preserve">出店優先度が『高』とされているエリアをすべて答えてください。</t>
  </si>
  <si>
    <t xml:space="preserve">中央、湾岸</t>
  </si>
  <si>
    <t xml:space="preserve">正解の要素がすべて含まれる=OK／一部のみ=部分／誤り・スライドにない内容を断定=NG</t>
  </si>
  <si>
    <t xml:space="preserve">【書式・色（地図）】P2 フリーフォームの塗り色＋凡例（評価点の数値はない）</t>
  </si>
  <si>
    <t xml:space="preserve">OK</t>
  </si>
  <si>
    <t xml:space="preserve">出店優先度が『高』とされているエリアは、次の2つです。
- 中央
- 湾岸
（スライド2「出店エリアの評価」より。いずれも評価点80以上）</t>
  </si>
  <si>
    <t xml:space="preserve">06-01</t>
  </si>
  <si>
    <t xml:space="preserve">中央エリアに隣接していて、優先度が『低』のエリアはどれですか？</t>
  </si>
  <si>
    <t xml:space="preserve">北、西</t>
  </si>
  <si>
    <t xml:space="preserve">【書式・色（地図）】P2 図形の色と隣接関係</t>
  </si>
  <si>
    <t xml:space="preserve">北、西（模式地図の配置から判断と明記）</t>
  </si>
  <si>
    <t xml:space="preserve">中央エリアに隣接していて出店優先度が「低」のエリアは、**北**と**西**の2つです。
- 優先度が「低」（評価点60未満）なのは、北と西だけです（スライド2の表）。
- スライド2の模式地図では、北は左上、西は左中段、中央は中心にあります。どちらも中央のすぐ周りにあるので、中央に隣接していると読み取れます。
※資料には隣接関係そのものは書かれていません。上の答えは、模式地図での「おおよその配置」から読み取ったものです。</t>
  </si>
  <si>
    <t xml:space="preserve">06-02</t>
  </si>
  <si>
    <t xml:space="preserve">P3</t>
  </si>
  <si>
    <t xml:space="preserve">グラフ</t>
  </si>
  <si>
    <t xml:space="preserve">競合店舗数が最も少ない候補地はどこですか？店舗数も答えてください。</t>
  </si>
  <si>
    <t xml:space="preserve">南公園通り、2店</t>
  </si>
  <si>
    <t xml:space="preserve">【バブルチャート】P3 バブルのY値（ラベルなし）</t>
  </si>
  <si>
    <t xml:space="preserve">競合店舗数が最も少ない候補地は「南公園通り」で、競合店舗数は2店です。</t>
  </si>
  <si>
    <t xml:space="preserve">06-03</t>
  </si>
  <si>
    <t xml:space="preserve">推定年商が最も大きい候補地と、その金額を答えてください。</t>
  </si>
  <si>
    <t xml:space="preserve">中央駅前、96百万円</t>
  </si>
  <si>
    <t xml:space="preserve">【バブルチャート】P3 バブルの大きさ＝推定年商（P6の売上と一致）</t>
  </si>
  <si>
    <t xml:space="preserve">推定年商が最も大きい候補地は「中央駅前」で、金額は96百万円（9,600万円）です。</t>
  </si>
  <si>
    <t xml:space="preserve">06-04</t>
  </si>
  <si>
    <t xml:space="preserve">昼間人口が10万人未満で、かつ競合店舗数が5店未満の候補地をすべて答えてください。</t>
  </si>
  <si>
    <t xml:space="preserve">湾岸タワー（9.2万人・3店）、北大学前（6.3万人・4店）、南公園通り（5.1万人・2店）</t>
  </si>
  <si>
    <t xml:space="preserve">【バブルチャート】P3 バブルのX・Y値</t>
  </si>
  <si>
    <t xml:space="preserve">湾岸タワー（9.2万人・3店）、南公園通り（5.1万人・2店）、北大学前（6.3万人・4店）</t>
  </si>
  <si>
    <t xml:space="preserve">昼間人口が10万人未満で、かつ競合店舗数が5店未満の候補地は次の3か所です（スライド3のバブルチャートのデータより）。
| 候補地 | 昼間人口 | 競合店舗数 |
| --- | --- | --- |
| 湾岸タワー | 9.2万人 | 3店 |
| 南公園通り | 5.1万人 | 2店 |
| 北大学前 | 6.3万人 | 4店 |
※中央駅前は昼間人口18.5万人・競合12店、東口商店街は昼間人口7.4万人ですが競合が6店のため、どちらも条件に当てはまりません。</t>
  </si>
  <si>
    <t xml:space="preserve">06-05</t>
  </si>
  <si>
    <t xml:space="preserve">P4</t>
  </si>
  <si>
    <t xml:space="preserve">画像</t>
  </si>
  <si>
    <t xml:space="preserve">現地写真に写っている看板に書かれている内容をすべて答えてください。</t>
  </si>
  <si>
    <t xml:space="preserve">「テナント募集」「1F 82㎡」のみ。（元画像の右側にある『工事予定 2027年3月まで』はトリミングで表示されていないため含めない）</t>
  </si>
  <si>
    <t xml:space="preserve">表示部分の看板のみ=OK／トリミングで隠れた看板も挙げる=NG</t>
  </si>
  <si>
    <t xml:space="preserve">【画像（トリミング）】P4 画像（右38%をトリミング）</t>
  </si>
  <si>
    <t xml:space="preserve">「テナント募集」「1F 82㎡」のみ</t>
  </si>
  <si>
    <t xml:space="preserve">トリミング部分の看板は挙げていない（MDにもトリミング部分の記載なし）</t>
  </si>
  <si>
    <t xml:space="preserve">現地写真（スライド4「候補地② 湾岸タワー1階 現地写真」）に写っている看板には、「テナント募集　1F 82㎡」と書かれています。
- 看板の形状：赤枠の看板
- 掲示場所：湾岸タワー1階のガラス張りの区画
- 記載内容：「テナント募集」「1F」「82㎡」（この82㎡はスライド8の店舗面積82m²と一致）
なお、資料に記載されている看板の文字はこれだけです。</t>
  </si>
  <si>
    <t xml:space="preserve">06-06</t>
  </si>
  <si>
    <t xml:space="preserve">スライド上に見えない情報</t>
  </si>
  <si>
    <t xml:space="preserve">現地写真はいつ撮影されたものですか？</t>
  </si>
  <si>
    <r>
      <rPr>
        <sz val="10"/>
        <rFont val="Meiryo UI"/>
        <family val="0"/>
        <charset val="1"/>
      </rPr>
      <t xml:space="preserve">2026</t>
    </r>
    <r>
      <rPr>
        <sz val="10"/>
        <rFont val="WenQuanYi Zen Hei"/>
        <family val="2"/>
      </rPr>
      <t xml:space="preserve">年</t>
    </r>
    <r>
      <rPr>
        <sz val="10"/>
        <rFont val="Meiryo UI"/>
        <family val="0"/>
        <charset val="1"/>
      </rPr>
      <t xml:space="preserve">10</t>
    </r>
    <r>
      <rPr>
        <sz val="10"/>
        <rFont val="WenQuanYi Zen Hei"/>
        <family val="2"/>
      </rPr>
      <t xml:space="preserve">月</t>
    </r>
  </si>
  <si>
    <t xml:space="preserve">【代替テキスト】P4 画像の代替テキスト（スライド上には記載なし）</t>
  </si>
  <si>
    <r>
      <rPr>
        <sz val="10"/>
        <rFont val="Meiryo UI"/>
        <family val="0"/>
        <charset val="1"/>
      </rPr>
      <t xml:space="preserve">2026</t>
    </r>
    <r>
      <rPr>
        <sz val="10"/>
        <rFont val="WenQuanYi Zen Hei"/>
        <family val="2"/>
      </rPr>
      <t xml:space="preserve">年</t>
    </r>
    <r>
      <rPr>
        <sz val="10"/>
        <rFont val="Meiryo UI"/>
        <family val="0"/>
        <charset val="1"/>
      </rPr>
      <t xml:space="preserve">10</t>
    </r>
    <r>
      <rPr>
        <sz val="10"/>
        <rFont val="WenQuanYi Zen Hei"/>
        <family val="2"/>
      </rPr>
      <t xml:space="preserve">月（代替テキストより）</t>
    </r>
  </si>
  <si>
    <t xml:space="preserve">現地写真（スライド4、湾岸タワー1階の候補区画の外観）は、2026年10月に撮影されたものです（画像の代替テキスト「湾岸タワー1階の候補区画の外観（2026年10月撮影）」による）。</t>
  </si>
  <si>
    <t xml:space="preserve">06-07</t>
  </si>
  <si>
    <t xml:space="preserve">P5</t>
  </si>
  <si>
    <t xml:space="preserve">地図上で、川の東側にある出店候補地をすべて答えてください。</t>
  </si>
  <si>
    <t xml:space="preserve">②湾岸タワー、④南公園通り</t>
  </si>
  <si>
    <t xml:space="preserve">【画像（地図）】P5 地図画像のピン位置＋番号表</t>
  </si>
  <si>
    <t xml:space="preserve">地図上で川の東側にある出店候補地（青丸）は、次の2か所です。
- ② 湾岸タワー（地図の北東。線路より北で、川より東）
- ④ 南公園通り（地図の南東。線路より南で、川より東）
なお、①北大学前と⑤中央駅前は川の西側です。東口商店街は中央駅の東約2kmにありますが、地図の範囲外のため地図上には載っていません。</t>
  </si>
  <si>
    <t xml:space="preserve">06-08</t>
  </si>
  <si>
    <t xml:space="preserve">既存店に最も近い出店候補地はどれですか？</t>
  </si>
  <si>
    <t xml:space="preserve">⑤中央駅前</t>
  </si>
  <si>
    <t xml:space="preserve">【画像（地図）】P5 地図画像のピン位置</t>
  </si>
  <si>
    <t xml:space="preserve">既存店（③モリノカフェ 中央店）に最も近い出店候補地は、**⑤中央駅前**です。
根拠（スライド5「候補地の位置」の地図より）：
- ⑤中央駅前は中央駅のすぐ南、川より西にあります。
- ③モリノカフェ 中央店（既存店）は「⑤中央駅前のさらに南西」にあり、中央駅前の近くに位置しています。
- ほかの候補地はもっと離れています。①北大学前は地図の北西（線路より北）、②湾岸タワーは北東（線路より北・川より東）、④南公園通りは南東（川より東）にあり、東口商店街は地図の範囲外（中央駅の東約2km）です。
※地図に距離の数値は書かれていないため、各地点の位置関係から判断しています。</t>
  </si>
  <si>
    <t xml:space="preserve">06-09</t>
  </si>
  <si>
    <t xml:space="preserve">P6</t>
  </si>
  <si>
    <t xml:space="preserve">表</t>
  </si>
  <si>
    <t xml:space="preserve">収支シミュレーションで『優先候補』に分類されている候補地をすべて答えてください。</t>
  </si>
  <si>
    <t xml:space="preserve">湾岸タワー、中央駅前</t>
  </si>
  <si>
    <t xml:space="preserve">【結合セル】P6 縦に結合されたセル</t>
  </si>
  <si>
    <t xml:space="preserve">収支シミュレーション（スライド6）で「優先候補」に分類されている候補地は次の2つです。
- 湾岸タワー（投資回収3.8年で最短）
- 中央駅前（年間売上96百万円で最大）</t>
  </si>
  <si>
    <t xml:space="preserve">06-10</t>
  </si>
  <si>
    <t xml:space="preserve">計算</t>
  </si>
  <si>
    <t xml:space="preserve">中央駅前の初期投資の合計はいくらですか？</t>
  </si>
  <si>
    <r>
      <rPr>
        <sz val="10"/>
        <rFont val="Meiryo UI"/>
        <family val="0"/>
        <charset val="1"/>
      </rPr>
      <t xml:space="preserve">60</t>
    </r>
    <r>
      <rPr>
        <sz val="10"/>
        <rFont val="WenQuanYi Zen Hei"/>
        <family val="2"/>
      </rPr>
      <t xml:space="preserve">百万円（内装</t>
    </r>
    <r>
      <rPr>
        <sz val="10"/>
        <rFont val="Meiryo UI"/>
        <family val="0"/>
        <charset val="1"/>
      </rPr>
      <t xml:space="preserve">42</t>
    </r>
    <r>
      <rPr>
        <sz val="10"/>
        <rFont val="WenQuanYi Zen Hei"/>
        <family val="2"/>
      </rPr>
      <t xml:space="preserve">＋設備</t>
    </r>
    <r>
      <rPr>
        <sz val="10"/>
        <rFont val="Meiryo UI"/>
        <family val="0"/>
        <charset val="1"/>
      </rPr>
      <t xml:space="preserve">18</t>
    </r>
    <r>
      <rPr>
        <sz val="10"/>
        <rFont val="WenQuanYi Zen Hei"/>
        <family val="2"/>
      </rPr>
      <t xml:space="preserve">）</t>
    </r>
  </si>
  <si>
    <t xml:space="preserve">数値が一致（丸め誤差±0.1まで）=OK／考え方は正しいが数値違い=部分／誤り=NG</t>
  </si>
  <si>
    <t xml:space="preserve">【計算】P6 表（2段見出しの結合セル）</t>
  </si>
  <si>
    <t xml:space="preserve">中央駅前の初期投資の合計は **60百万円（6,000万円）** です。内訳は内装42百万円、設備18百万円です（スライド6「収支シミュレーション」、スライド10「決裁依頼」）。</t>
  </si>
  <si>
    <t xml:space="preserve">06-11</t>
  </si>
  <si>
    <t xml:space="preserve">投資回収年数が最も短い候補地と、その年数を答えてください。</t>
  </si>
  <si>
    <t xml:space="preserve">湾岸タワー、3.8年</t>
  </si>
  <si>
    <t xml:space="preserve">【表】P6 表</t>
  </si>
  <si>
    <t xml:space="preserve">投資回収年数が最も短い候補地は**湾岸タワー**で、その年数は**3.8年**です。
（スライド6「収支シミュレーション」より。初期投資合計54百万円÷年間営業利益14.2百万円で算出。次に短いのは中央駅前の4.5年です。）</t>
  </si>
  <si>
    <t xml:space="preserve">06-12</t>
  </si>
  <si>
    <t xml:space="preserve">P7</t>
  </si>
  <si>
    <t xml:space="preserve">図解・位置関係</t>
  </si>
  <si>
    <t xml:space="preserve">湾岸タワー店のスケジュールで、『内装工事』を始める前に完了している必要がある作業は何ですか？</t>
  </si>
  <si>
    <t xml:space="preserve">店舗設計</t>
  </si>
  <si>
    <t xml:space="preserve">【図解（依存関係）】P7 依存関係の矢印（コネクタ）</t>
  </si>
  <si>
    <t xml:space="preserve">物件契約も間接的に完了済みと補足（誤りではない）</t>
  </si>
  <si>
    <t xml:space="preserve">『内装工事』を始める前に完了している必要があるのは「店舗設計」（2027年2月〜3月）です。
スライド7のスケジュールでは、矢印「店舗設計 → 内装工事」で示されるとおり、内装工事は店舗設計が終わってから開始します。なお、店舗設計はその前の「物件契約」（1月）が終わってから始まるため、結果として物件契約も内装工事の開始前に完了していることになります。</t>
  </si>
  <si>
    <t xml:space="preserve">06-13</t>
  </si>
  <si>
    <t xml:space="preserve">クリティカルパス上にあるタスクをすべて答えてください。</t>
  </si>
  <si>
    <t xml:space="preserve">物件契約、店舗設計、内装工事、開店準備（採用・研修は含まない）</t>
  </si>
  <si>
    <t xml:space="preserve">【書式・色】P7 バーの色＋凡例</t>
  </si>
  <si>
    <t xml:space="preserve">湾岸タワー店の出店スケジュール（スライド7）で、クリティカルパス（赤）上にあるタスクは次の4つです。
1. 物件契約（2027年1月）
2. 店舗設計（2027年2月〜3月）
3. 内装工事（2027年4月〜5月）
4. 開店準備（2027年6月）
この順に進んで、2027年7月1日の開店（マイルストーン）につながります。採用・研修（4月〜6月）は余裕のあるタスク（青）なので、クリティカルパスには含まれません。</t>
  </si>
  <si>
    <t xml:space="preserve">06-14</t>
  </si>
  <si>
    <t xml:space="preserve">P8</t>
  </si>
  <si>
    <t xml:space="preserve">湾岸タワー店の店舗面積と客席数を答えてください。</t>
  </si>
  <si>
    <r>
      <rPr>
        <sz val="10"/>
        <rFont val="Meiryo UI"/>
        <family val="0"/>
        <charset val="1"/>
      </rPr>
      <t xml:space="preserve">82m²</t>
    </r>
    <r>
      <rPr>
        <sz val="10"/>
        <rFont val="WenQuanYi Zen Hei"/>
        <family val="2"/>
      </rPr>
      <t xml:space="preserve">（約</t>
    </r>
    <r>
      <rPr>
        <sz val="10"/>
        <rFont val="Meiryo UI"/>
        <family val="0"/>
        <charset val="1"/>
      </rPr>
      <t xml:space="preserve">25</t>
    </r>
    <r>
      <rPr>
        <sz val="10"/>
        <rFont val="WenQuanYi Zen Hei"/>
        <family val="2"/>
      </rPr>
      <t xml:space="preserve">坪）、</t>
    </r>
    <r>
      <rPr>
        <sz val="10"/>
        <rFont val="Meiryo UI"/>
        <family val="0"/>
        <charset val="1"/>
      </rPr>
      <t xml:space="preserve">48</t>
    </r>
    <r>
      <rPr>
        <sz val="10"/>
        <rFont val="WenQuanYi Zen Hei"/>
        <family val="2"/>
      </rPr>
      <t xml:space="preserve">席（うちテラス</t>
    </r>
    <r>
      <rPr>
        <sz val="10"/>
        <rFont val="Meiryo UI"/>
        <family val="0"/>
        <charset val="1"/>
      </rPr>
      <t xml:space="preserve">8</t>
    </r>
    <r>
      <rPr>
        <sz val="10"/>
        <rFont val="WenQuanYi Zen Hei"/>
        <family val="2"/>
      </rPr>
      <t xml:space="preserve">席）</t>
    </r>
  </si>
  <si>
    <t xml:space="preserve">【上付き文字・2段組】P8 上付き文字（m²）、2段組テキスト</t>
  </si>
  <si>
    <t xml:space="preserve">湾岸タワー店の店舗面積は82m²（約25坪）、客席数は48席（うちテラス8席）です。（スライド8「湾岸タワー店の店舗計画」より。スライド4の現地写真の看板「テナント募集　1F 82㎡」とも一致します。）</t>
  </si>
  <si>
    <t xml:space="preserve">06-15</t>
  </si>
  <si>
    <t xml:space="preserve">店舗計画のうち、蛍光マーカーで強調されている条件は何ですか？</t>
  </si>
  <si>
    <t xml:space="preserve">家賃は売上の10%以内</t>
  </si>
  <si>
    <t xml:space="preserve">【蛍光マーカー】P8 ハイライト（蛍光ペン）書式</t>
  </si>
  <si>
    <t xml:space="preserve">蛍光マーカー（黄色の蛍光ペン）で強調されている条件は、湾岸タワー店の店舗計画（スライド8）の出店条件「家賃は売上の10%以内」です（太字でも強調されています）。</t>
  </si>
  <si>
    <t xml:space="preserve">06-16</t>
  </si>
  <si>
    <t xml:space="preserve">P9</t>
  </si>
  <si>
    <t xml:space="preserve">『商圏データの詳細』のリンク先URLを答えてください。</t>
  </si>
  <si>
    <t xml:space="preserve">https://data.morino-cafe.example/area2027</t>
  </si>
  <si>
    <t xml:space="preserve">【ハイパーリンク】P9 テキストのハイパーリンク（URLは本文に表示されない）</t>
  </si>
  <si>
    <t xml:space="preserve">『商圏データの詳細』のリンク先URLは https://data.morino-cafe.example/area2027 です（スライド9「参考資料」の外部資料リンク）。</t>
  </si>
  <si>
    <t xml:space="preserve">06-17</t>
  </si>
  <si>
    <t xml:space="preserve">『収支の詳細はこちら』ボタンをクリックすると、どのスライドへ移動しますか？</t>
  </si>
  <si>
    <r>
      <rPr>
        <sz val="10"/>
        <rFont val="Meiryo UI"/>
        <family val="0"/>
        <charset val="1"/>
      </rPr>
      <t xml:space="preserve">6</t>
    </r>
    <r>
      <rPr>
        <sz val="10"/>
        <rFont val="WenQuanYi Zen Hei"/>
        <family val="2"/>
      </rPr>
      <t xml:space="preserve">枚目（収支シミュレーション）</t>
    </r>
  </si>
  <si>
    <t xml:space="preserve">【スライド内リンク】P9 図形のクリック時の動作（スライドへのリンク）</t>
  </si>
  <si>
    <t xml:space="preserve">スライド6「収支シミュレーション」</t>
  </si>
  <si>
    <t xml:space="preserve">スライド6「収支シミュレーション」へ移動します（スライド9の「収支の詳細はこちら」ボタンはスライド内リンクで、クリックすると該当スライドへ移動します）。</t>
  </si>
  <si>
    <t xml:space="preserve">06-18</t>
  </si>
  <si>
    <t xml:space="preserve">P10</t>
  </si>
  <si>
    <t xml:space="preserve">中央駅前への出店を見送るのはどのような場合ですか？</t>
  </si>
  <si>
    <t xml:space="preserve">月額賃料が85万円を超える場合（その場合は北大学前を再検討）</t>
  </si>
  <si>
    <t xml:space="preserve">【ノート】P10 ノート</t>
  </si>
  <si>
    <t xml:space="preserve">月額賃料が85万円超なら見送り、北大学前を再検討</t>
  </si>
  <si>
    <t xml:space="preserve">中央駅前は現在賃料交渉中で、月額賃料が85万円を超える場合は出店を見送ります。その場合は、次点の北大学前を再検討します。（スライド10の発表者ノート「取扱注意」より）</t>
  </si>
  <si>
    <t xml:space="preserve">06-19</t>
  </si>
  <si>
    <t xml:space="preserve">—</t>
  </si>
  <si>
    <t xml:space="preserve">記載なし</t>
  </si>
  <si>
    <t xml:space="preserve">湾岸タワーの区画の月額賃料はいくらですか？</t>
  </si>
  <si>
    <t xml:space="preserve">『記載なし』『資料からは分からない』=OK／推測と明示して答える=部分／値を断定=NG</t>
  </si>
  <si>
    <t xml:space="preserve">【記載なし】全体（湾岸タワーの賃料の記載はない）</t>
  </si>
  <si>
    <t xml:space="preserve">家賃上限（月約73万円）を条件からの計算値と明示して補足。賃料の断定はなし</t>
  </si>
  <si>
    <t xml:space="preserve">資料には、湾岸タワーの区画の月額賃料は記載されていません。
関連する記載は次のとおりです。
- スライド8の出店条件として「家賃は売上の10%以内」とされています。湾岸タワー店の年間売上目標は88百万円（8,800万円）なので、この条件から考えると家賃の上限は年880万円（月あたり約73万円）になります。ただし、これは条件から計算した上限であり、実際の賃料ではありません。
- 月額賃料の数字が出てくるのは中央駅前だけです（スライド10の発表者ノート：「月額賃料が85万円を超える場合は出店を見送り」）。湾岸タワーの数字ではありません。
- スライド4の現地写真の看板には「テナント募集　1F 82㎡」とあるだけで、賃料は書かれていません。</t>
  </si>
  <si>
    <t xml:space="preserve">06-20</t>
  </si>
  <si>
    <t xml:space="preserve">記入例（行1の場合）</t>
  </si>
  <si>
    <t xml:space="preserve">（LLMの回答の要点を記入）</t>
  </si>
  <si>
    <t xml:space="preserve">対象：07_品質改善報告_8D.pptx（10枚）</t>
  </si>
  <si>
    <t xml:space="preserve">テキスト</t>
  </si>
  <si>
    <r>
      <rPr>
        <sz val="10"/>
        <rFont val="Meiryo UI"/>
        <family val="0"/>
        <charset val="1"/>
      </rPr>
      <t xml:space="preserve">10</t>
    </r>
    <r>
      <rPr>
        <sz val="10"/>
        <rFont val="WenQuanYi Zen Hei"/>
        <family val="2"/>
      </rPr>
      <t xml:space="preserve">月の塗装ムラの発生率と、その目標値を答えてください。</t>
    </r>
  </si>
  <si>
    <t xml:space="preserve">発生率3.8%、目標1.0%以下</t>
  </si>
  <si>
    <t xml:space="preserve">【テキスト】P2</t>
  </si>
  <si>
    <r>
      <rPr>
        <sz val="11"/>
        <color theme="1"/>
        <rFont val="Calibri"/>
        <family val="2"/>
        <charset val="1"/>
      </rPr>
      <t xml:space="preserve">10</t>
    </r>
    <r>
      <rPr>
        <sz val="11"/>
        <color theme="1"/>
        <rFont val="WenQuanYi Zen Hei"/>
        <family val="2"/>
      </rPr>
      <t xml:space="preserve">月の塗装ムラの発生率は</t>
    </r>
    <r>
      <rPr>
        <sz val="11"/>
        <color theme="1"/>
        <rFont val="Calibri"/>
        <family val="2"/>
        <charset val="1"/>
      </rPr>
      <t xml:space="preserve">3.8%</t>
    </r>
    <r>
      <rPr>
        <sz val="11"/>
        <color theme="1"/>
        <rFont val="WenQuanYi Zen Hei"/>
        <family val="2"/>
      </rPr>
      <t xml:space="preserve">で、目標値は</t>
    </r>
    <r>
      <rPr>
        <sz val="11"/>
        <color theme="1"/>
        <rFont val="Calibri"/>
        <family val="2"/>
        <charset val="1"/>
      </rPr>
      <t xml:space="preserve">1.0%</t>
    </r>
    <r>
      <rPr>
        <sz val="11"/>
        <color theme="1"/>
        <rFont val="WenQuanYi Zen Hei"/>
        <family val="2"/>
      </rPr>
      <t xml:space="preserve">以下です（第</t>
    </r>
    <r>
      <rPr>
        <sz val="11"/>
        <color theme="1"/>
        <rFont val="Calibri"/>
        <family val="2"/>
        <charset val="1"/>
      </rPr>
      <t xml:space="preserve">2</t>
    </r>
    <r>
      <rPr>
        <sz val="11"/>
        <color theme="1"/>
        <rFont val="WenQuanYi Zen Hei"/>
        <family val="2"/>
      </rPr>
      <t xml:space="preserve">工場</t>
    </r>
    <r>
      <rPr>
        <sz val="11"/>
        <color theme="1"/>
        <rFont val="Calibri"/>
        <family val="2"/>
        <charset val="1"/>
      </rPr>
      <t xml:space="preserve">C</t>
    </r>
    <r>
      <rPr>
        <sz val="11"/>
        <color theme="1"/>
        <rFont val="WenQuanYi Zen Hei"/>
        <family val="2"/>
      </rPr>
      <t xml:space="preserve">ライン、冷蔵庫用外装パネル、</t>
    </r>
    <r>
      <rPr>
        <sz val="11"/>
        <color theme="1"/>
        <rFont val="Calibri"/>
        <family val="2"/>
        <charset val="1"/>
      </rPr>
      <t xml:space="preserve">10</t>
    </r>
    <r>
      <rPr>
        <sz val="11"/>
        <color theme="1"/>
        <rFont val="WenQuanYi Zen Hei"/>
        <family val="2"/>
      </rPr>
      <t xml:space="preserve">月</t>
    </r>
    <r>
      <rPr>
        <sz val="11"/>
        <color theme="1"/>
        <rFont val="Calibri"/>
        <family val="2"/>
        <charset val="1"/>
      </rPr>
      <t xml:space="preserve">1</t>
    </r>
    <r>
      <rPr>
        <sz val="11"/>
        <color theme="1"/>
        <rFont val="WenQuanYi Zen Hei"/>
        <family val="2"/>
      </rPr>
      <t xml:space="preserve">日〜</t>
    </r>
    <r>
      <rPr>
        <sz val="11"/>
        <color theme="1"/>
        <rFont val="Calibri"/>
        <family val="2"/>
        <charset val="1"/>
      </rPr>
      <t xml:space="preserve">31</t>
    </r>
    <r>
      <rPr>
        <sz val="11"/>
        <color theme="1"/>
        <rFont val="WenQuanYi Zen Hei"/>
        <family val="2"/>
      </rPr>
      <t xml:space="preserve">日）。</t>
    </r>
  </si>
  <si>
    <t xml:space="preserve">07-01</t>
  </si>
  <si>
    <t xml:space="preserve">写真の圧力計は何MPaを示していますか？</t>
  </si>
  <si>
    <t xml:space="preserve">約0.42MPa（0.40〜0.45の範囲。0.4の目盛のすぐ右）</t>
  </si>
  <si>
    <t xml:space="preserve">許容範囲内の値=OK／目盛の読み違い（隣の目盛）=部分／それ以外=NG</t>
  </si>
  <si>
    <t xml:space="preserve">【画像（計器の読み取り）】P2 アナログメーター画像の針の位置</t>
  </si>
  <si>
    <t xml:space="preserve">約0.4MPa（点検記録の実測0.42MPaも併記）</t>
  </si>
  <si>
    <r>
      <rPr>
        <sz val="10"/>
        <rFont val="Meiryo UI"/>
        <family val="0"/>
        <charset val="1"/>
      </rPr>
      <t xml:space="preserve">0.40</t>
    </r>
    <r>
      <rPr>
        <sz val="10"/>
        <rFont val="WenQuanYi Zen Hei"/>
        <family val="2"/>
      </rPr>
      <t xml:space="preserve">は許容範囲</t>
    </r>
    <r>
      <rPr>
        <sz val="10"/>
        <rFont val="Meiryo UI"/>
        <family val="0"/>
        <charset val="1"/>
      </rPr>
      <t xml:space="preserve">0.40</t>
    </r>
    <r>
      <rPr>
        <sz val="10"/>
        <rFont val="WenQuanYi Zen Hei"/>
        <family val="2"/>
      </rPr>
      <t xml:space="preserve">〜</t>
    </r>
    <r>
      <rPr>
        <sz val="10"/>
        <rFont val="Meiryo UI"/>
        <family val="0"/>
        <charset val="1"/>
      </rPr>
      <t xml:space="preserve">0.45</t>
    </r>
    <r>
      <rPr>
        <sz val="10"/>
        <rFont val="WenQuanYi Zen Hei"/>
        <family val="2"/>
      </rPr>
      <t xml:space="preserve">内のため</t>
    </r>
    <r>
      <rPr>
        <sz val="10"/>
        <rFont val="Meiryo UI"/>
        <family val="0"/>
        <charset val="1"/>
      </rPr>
      <t xml:space="preserve">OK</t>
    </r>
  </si>
  <si>
    <t xml:space="preserve">写真（スライド2、11月12日撮影の塗装ブースの吐出圧力計）の針は約0.4MPaを指しています（目盛0.0〜1.0MPa、緑色の管理範囲帯 約0.3〜0.5MPaの内側）。
なお、この数値は写真の目盛からの読み取りです。同日（11/12）の設備点検記録（スライド6）では、吐出圧の実測値は0.42MPa（基準 0.40±0.05MPa、判定○）と記録されています。</t>
  </si>
  <si>
    <t xml:space="preserve">07-02</t>
  </si>
  <si>
    <t xml:space="preserve">『異物付着』の不具合件数は何件ですか？</t>
  </si>
  <si>
    <r>
      <rPr>
        <sz val="10"/>
        <rFont val="Meiryo UI"/>
        <family val="0"/>
        <charset val="1"/>
      </rPr>
      <t xml:space="preserve">27</t>
    </r>
    <r>
      <rPr>
        <sz val="10"/>
        <rFont val="WenQuanYi Zen Hei"/>
        <family val="2"/>
      </rPr>
      <t xml:space="preserve">件</t>
    </r>
  </si>
  <si>
    <t xml:space="preserve">【複合グラフ】P3 棒グラフ（数値ラベルなし）</t>
  </si>
  <si>
    <r>
      <rPr>
        <sz val="10"/>
        <rFont val="Meiryo UI"/>
        <family val="0"/>
        <charset val="1"/>
      </rPr>
      <t xml:space="preserve">27</t>
    </r>
    <r>
      <rPr>
        <sz val="10"/>
        <rFont val="WenQuanYi Zen Hei"/>
        <family val="2"/>
      </rPr>
      <t xml:space="preserve">件（</t>
    </r>
    <r>
      <rPr>
        <sz val="10"/>
        <rFont val="Meiryo UI"/>
        <family val="0"/>
        <charset val="1"/>
      </rPr>
      <t xml:space="preserve">10</t>
    </r>
    <r>
      <rPr>
        <sz val="10"/>
        <rFont val="WenQuanYi Zen Hei"/>
        <family val="2"/>
      </rPr>
      <t xml:space="preserve">月）。対策後は</t>
    </r>
    <r>
      <rPr>
        <sz val="10"/>
        <rFont val="Meiryo UI"/>
        <family val="0"/>
        <charset val="1"/>
      </rPr>
      <t xml:space="preserve">4</t>
    </r>
    <r>
      <rPr>
        <sz val="10"/>
        <rFont val="WenQuanYi Zen Hei"/>
        <family val="2"/>
      </rPr>
      <t xml:space="preserve">件と補足</t>
    </r>
  </si>
  <si>
    <t xml:space="preserve">『異物付着』の不具合件数は、10月（対策前）で27件です（スライド3のパレート図。10月の不具合品100件中、累積比率75%）。
なお、対策後の効果確認期間（11月13日〜17日）では4件です（スライド9。対策後の不良10件のうち）。異物付着は対策の対象外で、次の改善テーマとされています。</t>
  </si>
  <si>
    <t xml:space="preserve">07-03</t>
  </si>
  <si>
    <t xml:space="preserve">上位2項目の累積比率は何％ですか？</t>
  </si>
  <si>
    <t xml:space="preserve">75%</t>
  </si>
  <si>
    <t xml:space="preserve">【複合グラフ（第2軸）】P3 第2軸（右軸）の折れ線</t>
  </si>
  <si>
    <t xml:space="preserve">上位2項目（膜厚不足48件・異物付着27件）の累積比率は **75%** です（10月の不具合品100件中75件で、全体の4分の3）。</t>
  </si>
  <si>
    <t xml:space="preserve">07-04</t>
  </si>
  <si>
    <t xml:space="preserve">『タレ』と『色ムラ』の件数の合計は全体の何％ですか？</t>
  </si>
  <si>
    <r>
      <rPr>
        <sz val="10"/>
        <rFont val="Meiryo UI"/>
        <family val="0"/>
        <charset val="1"/>
      </rPr>
      <t xml:space="preserve">21%</t>
    </r>
    <r>
      <rPr>
        <sz val="10"/>
        <rFont val="WenQuanYi Zen Hei"/>
        <family val="2"/>
      </rPr>
      <t xml:space="preserve">（</t>
    </r>
    <r>
      <rPr>
        <sz val="10"/>
        <rFont val="Meiryo UI"/>
        <family val="0"/>
        <charset val="1"/>
      </rPr>
      <t xml:space="preserve">14</t>
    </r>
    <r>
      <rPr>
        <sz val="10"/>
        <rFont val="WenQuanYi Zen Hei"/>
        <family val="2"/>
      </rPr>
      <t xml:space="preserve">＋</t>
    </r>
    <r>
      <rPr>
        <sz val="10"/>
        <rFont val="Meiryo UI"/>
        <family val="0"/>
        <charset val="1"/>
      </rPr>
      <t xml:space="preserve">7</t>
    </r>
    <r>
      <rPr>
        <sz val="10"/>
        <rFont val="WenQuanYi Zen Hei"/>
        <family val="2"/>
      </rPr>
      <t xml:space="preserve">＝</t>
    </r>
    <r>
      <rPr>
        <sz val="10"/>
        <rFont val="Meiryo UI"/>
        <family val="0"/>
        <charset val="1"/>
      </rPr>
      <t xml:space="preserve">21</t>
    </r>
    <r>
      <rPr>
        <sz val="10"/>
        <rFont val="WenQuanYi Zen Hei"/>
        <family val="2"/>
      </rPr>
      <t xml:space="preserve">件／</t>
    </r>
    <r>
      <rPr>
        <sz val="10"/>
        <rFont val="Meiryo UI"/>
        <family val="0"/>
        <charset val="1"/>
      </rPr>
      <t xml:space="preserve">100</t>
    </r>
    <r>
      <rPr>
        <sz val="10"/>
        <rFont val="WenQuanYi Zen Hei"/>
        <family val="2"/>
      </rPr>
      <t xml:space="preserve">件）</t>
    </r>
  </si>
  <si>
    <t xml:space="preserve">【計算】P3 棒グラフ</t>
  </si>
  <si>
    <r>
      <rPr>
        <sz val="10"/>
        <rFont val="Meiryo UI"/>
        <family val="0"/>
        <charset val="1"/>
      </rPr>
      <t xml:space="preserve">21%</t>
    </r>
    <r>
      <rPr>
        <sz val="10"/>
        <rFont val="WenQuanYi Zen Hei"/>
        <family val="2"/>
      </rPr>
      <t xml:space="preserve">（</t>
    </r>
    <r>
      <rPr>
        <sz val="10"/>
        <rFont val="Meiryo UI"/>
        <family val="0"/>
        <charset val="1"/>
      </rPr>
      <t xml:space="preserve">14</t>
    </r>
    <r>
      <rPr>
        <sz val="10"/>
        <rFont val="WenQuanYi Zen Hei"/>
        <family val="2"/>
      </rPr>
      <t xml:space="preserve">＋</t>
    </r>
    <r>
      <rPr>
        <sz val="10"/>
        <rFont val="Meiryo UI"/>
        <family val="0"/>
        <charset val="1"/>
      </rPr>
      <t xml:space="preserve">7</t>
    </r>
    <r>
      <rPr>
        <sz val="10"/>
        <rFont val="WenQuanYi Zen Hei"/>
        <family val="2"/>
      </rPr>
      <t xml:space="preserve">＝</t>
    </r>
    <r>
      <rPr>
        <sz val="10"/>
        <rFont val="Meiryo UI"/>
        <family val="0"/>
        <charset val="1"/>
      </rPr>
      <t xml:space="preserve">21</t>
    </r>
    <r>
      <rPr>
        <sz val="10"/>
        <rFont val="WenQuanYi Zen Hei"/>
        <family val="2"/>
      </rPr>
      <t xml:space="preserve">／</t>
    </r>
    <r>
      <rPr>
        <sz val="10"/>
        <rFont val="Meiryo UI"/>
        <family val="0"/>
        <charset val="1"/>
      </rPr>
      <t xml:space="preserve">100</t>
    </r>
    <r>
      <rPr>
        <sz val="10"/>
        <rFont val="WenQuanYi Zen Hei"/>
        <family val="2"/>
      </rPr>
      <t xml:space="preserve">）</t>
    </r>
  </si>
  <si>
    <r>
      <rPr>
        <sz val="11"/>
        <color theme="1"/>
        <rFont val="Calibri"/>
        <family val="2"/>
        <charset val="1"/>
      </rPr>
      <t xml:space="preserve">21</t>
    </r>
    <r>
      <rPr>
        <sz val="11"/>
        <color theme="1"/>
        <rFont val="WenQuanYi Zen Hei"/>
        <family val="2"/>
      </rPr>
      <t xml:space="preserve">％です。
スライド</t>
    </r>
    <r>
      <rPr>
        <sz val="11"/>
        <color theme="1"/>
        <rFont val="Calibri"/>
        <family val="2"/>
        <charset val="1"/>
      </rPr>
      <t xml:space="preserve">3</t>
    </r>
    <r>
      <rPr>
        <sz val="11"/>
        <color theme="1"/>
        <rFont val="WenQuanYi Zen Hei"/>
        <family val="2"/>
      </rPr>
      <t xml:space="preserve">（</t>
    </r>
    <r>
      <rPr>
        <sz val="11"/>
        <color theme="1"/>
        <rFont val="Calibri"/>
        <family val="2"/>
        <charset val="1"/>
      </rPr>
      <t xml:space="preserve">10</t>
    </r>
    <r>
      <rPr>
        <sz val="11"/>
        <color theme="1"/>
        <rFont val="WenQuanYi Zen Hei"/>
        <family val="2"/>
      </rPr>
      <t xml:space="preserve">月の不具合内訳）によると、『タレ』は</t>
    </r>
    <r>
      <rPr>
        <sz val="11"/>
        <color theme="1"/>
        <rFont val="Calibri"/>
        <family val="2"/>
        <charset val="1"/>
      </rPr>
      <t xml:space="preserve">14</t>
    </r>
    <r>
      <rPr>
        <sz val="11"/>
        <color theme="1"/>
        <rFont val="WenQuanYi Zen Hei"/>
        <family val="2"/>
      </rPr>
      <t xml:space="preserve">件、『色ムラ』は</t>
    </r>
    <r>
      <rPr>
        <sz val="11"/>
        <color theme="1"/>
        <rFont val="Calibri"/>
        <family val="2"/>
        <charset val="1"/>
      </rPr>
      <t xml:space="preserve">7</t>
    </r>
    <r>
      <rPr>
        <sz val="11"/>
        <color theme="1"/>
        <rFont val="WenQuanYi Zen Hei"/>
        <family val="2"/>
      </rPr>
      <t xml:space="preserve">件で、合計</t>
    </r>
    <r>
      <rPr>
        <sz val="11"/>
        <color theme="1"/>
        <rFont val="Calibri"/>
        <family val="2"/>
        <charset val="1"/>
      </rPr>
      <t xml:space="preserve">21</t>
    </r>
    <r>
      <rPr>
        <sz val="11"/>
        <color theme="1"/>
        <rFont val="WenQuanYi Zen Hei"/>
        <family val="2"/>
      </rPr>
      <t xml:space="preserve">件です。不具合の総数は</t>
    </r>
    <r>
      <rPr>
        <sz val="11"/>
        <color theme="1"/>
        <rFont val="Calibri"/>
        <family val="2"/>
        <charset val="1"/>
      </rPr>
      <t xml:space="preserve">100</t>
    </r>
    <r>
      <rPr>
        <sz val="11"/>
        <color theme="1"/>
        <rFont val="WenQuanYi Zen Hei"/>
        <family val="2"/>
      </rPr>
      <t xml:space="preserve">件なので、</t>
    </r>
    <r>
      <rPr>
        <sz val="11"/>
        <color theme="1"/>
        <rFont val="Calibri"/>
        <family val="2"/>
        <charset val="1"/>
      </rPr>
      <t xml:space="preserve">21 ÷ 100 = 21</t>
    </r>
    <r>
      <rPr>
        <sz val="11"/>
        <color theme="1"/>
        <rFont val="WenQuanYi Zen Hei"/>
        <family val="2"/>
      </rPr>
      <t xml:space="preserve">％になります。
（参考：累積比率で見ても、タレまでの</t>
    </r>
    <r>
      <rPr>
        <sz val="11"/>
        <color theme="1"/>
        <rFont val="Calibri"/>
        <family val="2"/>
        <charset val="1"/>
      </rPr>
      <t xml:space="preserve">89</t>
    </r>
    <r>
      <rPr>
        <sz val="11"/>
        <color theme="1"/>
        <rFont val="WenQuanYi Zen Hei"/>
        <family val="2"/>
      </rPr>
      <t xml:space="preserve">％から異物付着までの</t>
    </r>
    <r>
      <rPr>
        <sz val="11"/>
        <color theme="1"/>
        <rFont val="Calibri"/>
        <family val="2"/>
        <charset val="1"/>
      </rPr>
      <t xml:space="preserve">75</t>
    </r>
    <r>
      <rPr>
        <sz val="11"/>
        <color theme="1"/>
        <rFont val="WenQuanYi Zen Hei"/>
        <family val="2"/>
      </rPr>
      <t xml:space="preserve">％を引くと</t>
    </r>
    <r>
      <rPr>
        <sz val="11"/>
        <color theme="1"/>
        <rFont val="Calibri"/>
        <family val="2"/>
        <charset val="1"/>
      </rPr>
      <t xml:space="preserve">14</t>
    </r>
    <r>
      <rPr>
        <sz val="11"/>
        <color theme="1"/>
        <rFont val="WenQuanYi Zen Hei"/>
        <family val="2"/>
      </rPr>
      <t xml:space="preserve">％、色ムラまでの</t>
    </r>
    <r>
      <rPr>
        <sz val="11"/>
        <color theme="1"/>
        <rFont val="Calibri"/>
        <family val="2"/>
        <charset val="1"/>
      </rPr>
      <t xml:space="preserve">96</t>
    </r>
    <r>
      <rPr>
        <sz val="11"/>
        <color theme="1"/>
        <rFont val="WenQuanYi Zen Hei"/>
        <family val="2"/>
      </rPr>
      <t xml:space="preserve">％からタレまでの</t>
    </r>
    <r>
      <rPr>
        <sz val="11"/>
        <color theme="1"/>
        <rFont val="Calibri"/>
        <family val="2"/>
        <charset val="1"/>
      </rPr>
      <t xml:space="preserve">89</t>
    </r>
    <r>
      <rPr>
        <sz val="11"/>
        <color theme="1"/>
        <rFont val="WenQuanYi Zen Hei"/>
        <family val="2"/>
      </rPr>
      <t xml:space="preserve">％を引くと</t>
    </r>
    <r>
      <rPr>
        <sz val="11"/>
        <color theme="1"/>
        <rFont val="Calibri"/>
        <family val="2"/>
        <charset val="1"/>
      </rPr>
      <t xml:space="preserve">7</t>
    </r>
    <r>
      <rPr>
        <sz val="11"/>
        <color theme="1"/>
        <rFont val="WenQuanYi Zen Hei"/>
        <family val="2"/>
      </rPr>
      <t xml:space="preserve">％で、足すと</t>
    </r>
    <r>
      <rPr>
        <sz val="11"/>
        <color theme="1"/>
        <rFont val="Calibri"/>
        <family val="2"/>
        <charset val="1"/>
      </rPr>
      <t xml:space="preserve">21</t>
    </r>
    <r>
      <rPr>
        <sz val="11"/>
        <color theme="1"/>
        <rFont val="WenQuanYi Zen Hei"/>
        <family val="2"/>
      </rPr>
      <t xml:space="preserve">％です。）
※対策後（</t>
    </r>
    <r>
      <rPr>
        <sz val="11"/>
        <color theme="1"/>
        <rFont val="Calibri"/>
        <family val="2"/>
        <charset val="1"/>
      </rPr>
      <t xml:space="preserve">11</t>
    </r>
    <r>
      <rPr>
        <sz val="11"/>
        <color theme="1"/>
        <rFont val="WenQuanYi Zen Hei"/>
        <family val="2"/>
      </rPr>
      <t xml:space="preserve">月</t>
    </r>
    <r>
      <rPr>
        <sz val="11"/>
        <color theme="1"/>
        <rFont val="Calibri"/>
        <family val="2"/>
        <charset val="1"/>
      </rPr>
      <t xml:space="preserve">13</t>
    </r>
    <r>
      <rPr>
        <sz val="11"/>
        <color theme="1"/>
        <rFont val="WenQuanYi Zen Hei"/>
        <family val="2"/>
      </rPr>
      <t xml:space="preserve">日〜</t>
    </r>
    <r>
      <rPr>
        <sz val="11"/>
        <color theme="1"/>
        <rFont val="Calibri"/>
        <family val="2"/>
        <charset val="1"/>
      </rPr>
      <t xml:space="preserve">17</t>
    </r>
    <r>
      <rPr>
        <sz val="11"/>
        <color theme="1"/>
        <rFont val="WenQuanYi Zen Hei"/>
        <family val="2"/>
      </rPr>
      <t xml:space="preserve">日、スライド</t>
    </r>
    <r>
      <rPr>
        <sz val="11"/>
        <color theme="1"/>
        <rFont val="Calibri"/>
        <family val="2"/>
        <charset val="1"/>
      </rPr>
      <t xml:space="preserve">9</t>
    </r>
    <r>
      <rPr>
        <sz val="11"/>
        <color theme="1"/>
        <rFont val="WenQuanYi Zen Hei"/>
        <family val="2"/>
      </rPr>
      <t xml:space="preserve">）の内訳には『色ムラ』の項目がありません。その期間で数えると、タレ</t>
    </r>
    <r>
      <rPr>
        <sz val="11"/>
        <color theme="1"/>
        <rFont val="Calibri"/>
        <family val="2"/>
        <charset val="1"/>
      </rPr>
      <t xml:space="preserve">2</t>
    </r>
    <r>
      <rPr>
        <sz val="11"/>
        <color theme="1"/>
        <rFont val="WenQuanYi Zen Hei"/>
        <family val="2"/>
      </rPr>
      <t xml:space="preserve">件のみで</t>
    </r>
    <r>
      <rPr>
        <sz val="11"/>
        <color theme="1"/>
        <rFont val="Calibri"/>
        <family val="2"/>
        <charset val="1"/>
      </rPr>
      <t xml:space="preserve">10</t>
    </r>
    <r>
      <rPr>
        <sz val="11"/>
        <color theme="1"/>
        <rFont val="WenQuanYi Zen Hei"/>
        <family val="2"/>
      </rPr>
      <t xml:space="preserve">件中</t>
    </r>
    <r>
      <rPr>
        <sz val="11"/>
        <color theme="1"/>
        <rFont val="Calibri"/>
        <family val="2"/>
        <charset val="1"/>
      </rPr>
      <t xml:space="preserve">20</t>
    </r>
    <r>
      <rPr>
        <sz val="11"/>
        <color theme="1"/>
        <rFont val="WenQuanYi Zen Hei"/>
        <family val="2"/>
      </rPr>
      <t xml:space="preserve">％になります。</t>
    </r>
  </si>
  <si>
    <t xml:space="preserve">07-05</t>
  </si>
  <si>
    <t xml:space="preserve">特性要因図で『材料』に分類されている要因は何ですか？</t>
  </si>
  <si>
    <t xml:space="preserve">塗料粘度のばらつき</t>
  </si>
  <si>
    <t xml:space="preserve">【図解（特性要因図）】P4 骨の位置と分類ラベル</t>
  </si>
  <si>
    <t xml:space="preserve">特性要因図（スライド4、特性＝膜厚不足）で「材料」に分類されている要因は「塗料粘度のばらつき」です（材料の枝にはこの1項目のみ）。</t>
  </si>
  <si>
    <t xml:space="preserve">07-06</t>
  </si>
  <si>
    <t xml:space="preserve">真因として赤丸で囲まれている要因と、その分類を答えてください。</t>
  </si>
  <si>
    <t xml:space="preserve">スプレーガンのノズル摩耗（機械）</t>
  </si>
  <si>
    <t xml:space="preserve">【図形による強調】P4 楕円の囲み＋注記</t>
  </si>
  <si>
    <t xml:space="preserve">真因として赤丸で囲まれている要因は「スプレーガンのノズル摩耗」で、分類は4M（人・機械・材料・方法）のうち「機械」です（スライド4の特性要因図）。図中で赤丸が付いているのはこの要因のみです。</t>
  </si>
  <si>
    <t xml:space="preserve">07-07</t>
  </si>
  <si>
    <t xml:space="preserve">膜厚が管理限界を外れた日と、その値を答えてください。</t>
  </si>
  <si>
    <r>
      <rPr>
        <sz val="10"/>
        <rFont val="Meiryo UI"/>
        <family val="0"/>
        <charset val="1"/>
      </rPr>
      <t xml:space="preserve">9</t>
    </r>
    <r>
      <rPr>
        <sz val="10"/>
        <rFont val="WenQuanYi Zen Hei"/>
        <family val="2"/>
      </rPr>
      <t xml:space="preserve">日、</t>
    </r>
    <r>
      <rPr>
        <sz val="10"/>
        <rFont val="Meiryo UI"/>
        <family val="0"/>
        <charset val="1"/>
      </rPr>
      <t xml:space="preserve">43μm</t>
    </r>
    <r>
      <rPr>
        <sz val="10"/>
        <rFont val="WenQuanYi Zen Hei"/>
        <family val="2"/>
      </rPr>
      <t xml:space="preserve">（下方管理限界</t>
    </r>
    <r>
      <rPr>
        <sz val="10"/>
        <rFont val="Meiryo UI"/>
        <family val="0"/>
        <charset val="1"/>
      </rPr>
      <t xml:space="preserve">44μm</t>
    </r>
    <r>
      <rPr>
        <sz val="10"/>
        <rFont val="WenQuanYi Zen Hei"/>
        <family val="2"/>
      </rPr>
      <t xml:space="preserve">を下回った）</t>
    </r>
  </si>
  <si>
    <t xml:space="preserve">【管理図】P5 折れ線（数値ラベルなし）</t>
  </si>
  <si>
    <r>
      <rPr>
        <sz val="10"/>
        <rFont val="Meiryo UI"/>
        <family val="0"/>
        <charset val="1"/>
      </rPr>
      <t xml:space="preserve">11</t>
    </r>
    <r>
      <rPr>
        <sz val="10"/>
        <rFont val="WenQuanYi Zen Hei"/>
        <family val="2"/>
      </rPr>
      <t xml:space="preserve">月</t>
    </r>
    <r>
      <rPr>
        <sz val="10"/>
        <rFont val="Meiryo UI"/>
        <family val="0"/>
        <charset val="1"/>
      </rPr>
      <t xml:space="preserve">9</t>
    </r>
    <r>
      <rPr>
        <sz val="10"/>
        <rFont val="WenQuanYi Zen Hei"/>
        <family val="2"/>
      </rPr>
      <t xml:space="preserve">日、</t>
    </r>
    <r>
      <rPr>
        <sz val="10"/>
        <rFont val="Meiryo UI"/>
        <family val="0"/>
        <charset val="1"/>
      </rPr>
      <t xml:space="preserve">43μm</t>
    </r>
    <r>
      <rPr>
        <sz val="10"/>
        <rFont val="WenQuanYi Zen Hei"/>
        <family val="2"/>
      </rPr>
      <t xml:space="preserve">（</t>
    </r>
    <r>
      <rPr>
        <sz val="10"/>
        <rFont val="Meiryo UI"/>
        <family val="0"/>
        <charset val="1"/>
      </rPr>
      <t xml:space="preserve">LCL44μm</t>
    </r>
    <r>
      <rPr>
        <sz val="10"/>
        <rFont val="WenQuanYi Zen Hei"/>
        <family val="2"/>
      </rPr>
      <t xml:space="preserve">割れ）</t>
    </r>
  </si>
  <si>
    <t xml:space="preserve">膜厚が管理限界を外れたのは **11月9日** で、その値は **43μm** です（下方管理限界 LCL 44μm を下回りました）。</t>
  </si>
  <si>
    <t xml:space="preserve">07-08</t>
  </si>
  <si>
    <t xml:space="preserve">上方管理限界と下方管理限界の値をそれぞれ答えてください。</t>
  </si>
  <si>
    <r>
      <rPr>
        <sz val="10"/>
        <rFont val="Meiryo UI"/>
        <family val="0"/>
        <charset val="1"/>
      </rPr>
      <t xml:space="preserve">UCL 56μm</t>
    </r>
    <r>
      <rPr>
        <sz val="10"/>
        <rFont val="WenQuanYi Zen Hei"/>
        <family val="2"/>
      </rPr>
      <t xml:space="preserve">、</t>
    </r>
    <r>
      <rPr>
        <sz val="10"/>
        <rFont val="Meiryo UI"/>
        <family val="0"/>
        <charset val="1"/>
      </rPr>
      <t xml:space="preserve">LCL 44μm</t>
    </r>
  </si>
  <si>
    <t xml:space="preserve">【管理図】P5 グラフの系列データ</t>
  </si>
  <si>
    <t xml:space="preserve">スライド5「膜厚の管理図（11月1日〜12日）」によると、
- 上方管理限界（UCL）：56μm
- 下方管理限界（LCL）：44μm
（中心線CLは50μm。管理限界は過去3か月のデータから算出されています。）</t>
  </si>
  <si>
    <t xml:space="preserve">07-09</t>
  </si>
  <si>
    <t xml:space="preserve">点検記録表で判定が『×』になっている項目をすべて答えてください。</t>
  </si>
  <si>
    <t xml:space="preserve">ノズル径、塗料粘度</t>
  </si>
  <si>
    <t xml:space="preserve">【画像（スキャン文書）】P6 傾いたスキャン画像</t>
  </si>
  <si>
    <t xml:space="preserve">点検記録表（11/12、第2工場 Cライン）で判定が「×」になっている項目は次の2つです。
1. ノズル径（基準 1.30±0.05mm に対し実測 1.52mm）
2. 塗料粘度（基準 18±2秒 に対し実測 21秒）</t>
  </si>
  <si>
    <t xml:space="preserve">07-10</t>
  </si>
  <si>
    <t xml:space="preserve">ノズル径の実測値と基準値を答えてください。</t>
  </si>
  <si>
    <t xml:space="preserve">実測1.52mm、基準1.30±0.05mm</t>
  </si>
  <si>
    <t xml:space="preserve">【画像（手書き）】P6 スキャン画像（実測は手書き）</t>
  </si>
  <si>
    <t xml:space="preserve">ノズル径の実測値は1.52mm、基準値は1.30±0.05mmです（スライド6の設備点検記録、11/12点検。判定は×＝基準外）。</t>
  </si>
  <si>
    <t xml:space="preserve">07-11</t>
  </si>
  <si>
    <t xml:space="preserve">点検記録表の点検日と点検者を答えてください。</t>
  </si>
  <si>
    <r>
      <rPr>
        <sz val="10"/>
        <rFont val="Meiryo UI"/>
        <family val="0"/>
        <charset val="1"/>
      </rPr>
      <t xml:space="preserve">11</t>
    </r>
    <r>
      <rPr>
        <sz val="10"/>
        <rFont val="WenQuanYi Zen Hei"/>
        <family val="2"/>
      </rPr>
      <t xml:space="preserve">月</t>
    </r>
    <r>
      <rPr>
        <sz val="10"/>
        <rFont val="Meiryo UI"/>
        <family val="0"/>
        <charset val="1"/>
      </rPr>
      <t xml:space="preserve">12</t>
    </r>
    <r>
      <rPr>
        <sz val="10"/>
        <rFont val="WenQuanYi Zen Hei"/>
        <family val="2"/>
      </rPr>
      <t xml:space="preserve">日、山岸</t>
    </r>
  </si>
  <si>
    <t xml:space="preserve">【画像（手書き）】P6 スキャン画像（手書き）</t>
  </si>
  <si>
    <r>
      <rPr>
        <sz val="10"/>
        <rFont val="Meiryo UI"/>
        <family val="0"/>
        <charset val="1"/>
      </rPr>
      <t xml:space="preserve">11/12</t>
    </r>
    <r>
      <rPr>
        <sz val="10"/>
        <rFont val="WenQuanYi Zen Hei"/>
        <family val="2"/>
      </rPr>
      <t xml:space="preserve">、山岸</t>
    </r>
  </si>
  <si>
    <t xml:space="preserve">点検記録表（スライド6、塗装設備 点検記録表／第2工場 Cライン）によると、
- 点検日：11/12（手書き）
- 点検者：山岸（手書き）
です。</t>
  </si>
  <si>
    <t xml:space="preserve">07-12</t>
  </si>
  <si>
    <t xml:space="preserve">対策前と対策後の工程能力指数（Cpk）を答えてください。目標は達成していますか？</t>
  </si>
  <si>
    <r>
      <rPr>
        <sz val="10"/>
        <rFont val="Meiryo UI"/>
        <family val="0"/>
        <charset val="1"/>
      </rPr>
      <t xml:space="preserve">0.71→1.45</t>
    </r>
    <r>
      <rPr>
        <sz val="10"/>
        <rFont val="WenQuanYi Zen Hei"/>
        <family val="2"/>
      </rPr>
      <t xml:space="preserve">。目標</t>
    </r>
    <r>
      <rPr>
        <sz val="10"/>
        <rFont val="Meiryo UI"/>
        <family val="0"/>
        <charset val="1"/>
      </rPr>
      <t xml:space="preserve">1.33</t>
    </r>
    <r>
      <rPr>
        <sz val="10"/>
        <rFont val="WenQuanYi Zen Hei"/>
        <family val="2"/>
      </rPr>
      <t xml:space="preserve">以上を達成</t>
    </r>
  </si>
  <si>
    <t xml:space="preserve">【下付き文字】P7 下付き文字（pk）</t>
  </si>
  <si>
    <r>
      <rPr>
        <sz val="10"/>
        <rFont val="Meiryo UI"/>
        <family val="0"/>
        <charset val="1"/>
      </rPr>
      <t xml:space="preserve">0.71→1.45</t>
    </r>
    <r>
      <rPr>
        <sz val="10"/>
        <rFont val="WenQuanYi Zen Hei"/>
        <family val="2"/>
      </rPr>
      <t xml:space="preserve">、目標</t>
    </r>
    <r>
      <rPr>
        <sz val="10"/>
        <rFont val="Meiryo UI"/>
        <family val="0"/>
        <charset val="1"/>
      </rPr>
      <t xml:space="preserve">1.33</t>
    </r>
    <r>
      <rPr>
        <sz val="10"/>
        <rFont val="WenQuanYi Zen Hei"/>
        <family val="2"/>
      </rPr>
      <t xml:space="preserve">以上を達成</t>
    </r>
  </si>
  <si>
    <t xml:space="preserve">工程能力指数（Cpk）は、対策前が0.71、対策後が1.45です（スライド7「対策と効果」より）。
工程能力の目標は「1.33以上」とされているため、対策後のCpk 1.45は目標を達成しています（対策前の0.71は目標未達でした）。</t>
  </si>
  <si>
    <t xml:space="preserve">07-13</t>
  </si>
  <si>
    <t xml:space="preserve">膜厚のばらつき（σ）は何％低減しましたか？小数第1位まで答えてください。</t>
  </si>
  <si>
    <r>
      <rPr>
        <sz val="10"/>
        <rFont val="Meiryo UI"/>
        <family val="0"/>
        <charset val="1"/>
      </rPr>
      <t xml:space="preserve">60.4%</t>
    </r>
    <r>
      <rPr>
        <sz val="10"/>
        <rFont val="WenQuanYi Zen Hei"/>
        <family val="2"/>
      </rPr>
      <t xml:space="preserve">（</t>
    </r>
    <r>
      <rPr>
        <sz val="10"/>
        <rFont val="Meiryo UI"/>
        <family val="0"/>
        <charset val="1"/>
      </rPr>
      <t xml:space="preserve">(4.8−1.9)÷4.8</t>
    </r>
    <r>
      <rPr>
        <sz val="10"/>
        <rFont val="WenQuanYi Zen Hei"/>
        <family val="2"/>
      </rPr>
      <t xml:space="preserve">）</t>
    </r>
  </si>
  <si>
    <t xml:space="preserve">【計算】P7</t>
  </si>
  <si>
    <t xml:space="preserve">約60.4%</t>
  </si>
  <si>
    <t xml:space="preserve">膜厚のばらつき（σ）は 4.8μm → 1.9μm に低減しています（スライド7）。
低減率 =（4.8 − 1.9）÷ 4.8 = 2.9 ÷ 4.8 ≒ 0.6042
答え：約 60.4％ 低減</t>
  </si>
  <si>
    <t xml:space="preserve">07-14</t>
  </si>
  <si>
    <t xml:space="preserve">対策前と対策後の写真では、どのような違いが見られますか？</t>
  </si>
  <si>
    <t xml:space="preserve">対策前はパネルに濃淡のムラ（斑点）が多く、対策後はムラが少なく均一</t>
  </si>
  <si>
    <t xml:space="preserve">【画像の比較】P7 2枚の画像</t>
  </si>
  <si>
    <t xml:space="preserve">対策前は円形のムラが多数、対策後はほぼ均一</t>
  </si>
  <si>
    <t xml:space="preserve">スライド7「対策と効果」の対策前・対策後の塗装パネル写真（青色パネル）を比べると、次の違いがあります。
- 対策前：パネル表面に、明暗の異なる大小の円形のムラが多数見られます。
- 対策後：ムラはごく小さな斑点が数か所残る程度で、ほぼ均一な塗装面になっています。
つまり、対策（ノズルの200時間ごとの交換、塗料粘度の自動測定と警報、膜厚測定の再教育）の後は塗装ムラが大幅に減り、仕上がりが均一になっています。この見た目の変化は、同じスライドの数値の効果（膜厚のばらつき σ 4.8μm→1.9μm、Cpk 0.71→1.45）と一致しています。</t>
  </si>
  <si>
    <t xml:space="preserve">07-15</t>
  </si>
  <si>
    <t xml:space="preserve">ノズル使用時間が150時間、塗料粘度が21秒の場合、どう対応しますか？</t>
  </si>
  <si>
    <t xml:space="preserve">粘度を調整して再測定</t>
  </si>
  <si>
    <t xml:space="preserve">【図解（判断フロー）】P8 判断フロー（Yes/No分岐）</t>
  </si>
  <si>
    <t xml:space="preserve">スライド8の日常管理の判断フローに沿うと、次のようになります。
1. ノズル使用時間は150時間なので「200時間以上？」は No です。ノズル交換はまだ不要で、次の判断へ進みます。
2. 塗料粘度は21秒で、基準の16〜20秒（18±2秒）を外れています。そのため「範囲内？」は No になります。
対応：粘度を調整してから再測定します。そのまま生産を続けてはいけません。
再測定の結果が16〜20秒の範囲に入れば、生産を継続できます。
補足：資料の図には「粘度を調整して再測定」の後にどこへ戻るかの矢印が描かれていません。再測定後の扱いは、フローの趣旨から読み取ったものです。</t>
  </si>
  <si>
    <t xml:space="preserve">07-16</t>
  </si>
  <si>
    <t xml:space="preserve">対策後の不良率は何％ですか？</t>
  </si>
  <si>
    <t xml:space="preserve">0.9%</t>
  </si>
  <si>
    <t xml:space="preserve">【ドーナツ＋重ねた文字】P9 ドーナツ中央に重ねたテキストボックス</t>
  </si>
  <si>
    <t xml:space="preserve">対策後（11月13日〜17日）の不良率は **0.9%** です。目標の1.0%以下を達成しています（不良10件 ÷ 生産数1,110個 ≒ 0.9%）。</t>
  </si>
  <si>
    <t xml:space="preserve">07-17</t>
  </si>
  <si>
    <t xml:space="preserve">対策後に最も件数が多い不良と、その件数を答えてください。</t>
  </si>
  <si>
    <t xml:space="preserve">異物付着、4件</t>
  </si>
  <si>
    <t xml:space="preserve">【ドーナツグラフ】P9 ドーナツ（数値ラベルなし）</t>
  </si>
  <si>
    <t xml:space="preserve">対策後（11月13日〜17日）に最も件数が多い不良は「異物付着」で、件数は4件です（全10件中）。</t>
  </si>
  <si>
    <t xml:space="preserve">07-18</t>
  </si>
  <si>
    <t xml:space="preserve">『粘度の自動測定』がまだ実施されていないのは、どの工場のどのラインですか？</t>
  </si>
  <si>
    <t xml:space="preserve">第1工場 Bライン</t>
  </si>
  <si>
    <t xml:space="preserve">【結合セル・縦書き】P10 表（工場列は結合、見出しは縦書き）</t>
  </si>
  <si>
    <t xml:space="preserve">『粘度の自動測定』がまだ実施されていないのは、**第1工場のBライン**です（スライド10の横展開状況で「未」＝未着手）。
なお発表者ノートによると、第1工場Bラインの粘度自動測定は2027年2月の設備更新に合わせて実施する予定です。</t>
  </si>
  <si>
    <t xml:space="preserve">07-19</t>
  </si>
  <si>
    <t xml:space="preserve">第1工場Bラインの粘度自動測定はいつ実施する予定ですか？</t>
  </si>
  <si>
    <r>
      <rPr>
        <sz val="10"/>
        <rFont val="Meiryo UI"/>
        <family val="0"/>
        <charset val="1"/>
      </rPr>
      <t xml:space="preserve">2027</t>
    </r>
    <r>
      <rPr>
        <sz val="10"/>
        <rFont val="WenQuanYi Zen Hei"/>
        <family val="2"/>
      </rPr>
      <t xml:space="preserve">年</t>
    </r>
    <r>
      <rPr>
        <sz val="10"/>
        <rFont val="Meiryo UI"/>
        <family val="0"/>
        <charset val="1"/>
      </rPr>
      <t xml:space="preserve">2</t>
    </r>
    <r>
      <rPr>
        <sz val="10"/>
        <rFont val="WenQuanYi Zen Hei"/>
        <family val="2"/>
      </rPr>
      <t xml:space="preserve">月（設備更新に合わせて）</t>
    </r>
  </si>
  <si>
    <r>
      <rPr>
        <sz val="11"/>
        <color theme="1"/>
        <rFont val="Calibri"/>
        <family val="2"/>
        <charset val="1"/>
      </rPr>
      <t xml:space="preserve">2027</t>
    </r>
    <r>
      <rPr>
        <sz val="11"/>
        <color theme="1"/>
        <rFont val="WenQuanYi Zen Hei"/>
        <family val="2"/>
      </rPr>
      <t xml:space="preserve">年</t>
    </r>
    <r>
      <rPr>
        <sz val="11"/>
        <color theme="1"/>
        <rFont val="Calibri"/>
        <family val="2"/>
        <charset val="1"/>
      </rPr>
      <t xml:space="preserve">2</t>
    </r>
    <r>
      <rPr>
        <sz val="11"/>
        <color theme="1"/>
        <rFont val="WenQuanYi Zen Hei"/>
        <family val="2"/>
      </rPr>
      <t xml:space="preserve">月の予定です。設備更新に合わせて実施する計画となっています（現時点では未着手）。</t>
    </r>
  </si>
  <si>
    <t xml:space="preserve">07-20</t>
  </si>
  <si>
    <t xml:space="preserve">対象：08_デジタル広告_効果検証.pptx（10枚）</t>
  </si>
  <si>
    <t xml:space="preserve">全体</t>
  </si>
  <si>
    <t xml:space="preserve">この資料に掲載されている数値は確定値ですか？</t>
  </si>
  <si>
    <t xml:space="preserve">確定値ではない（速報値・確定前）</t>
  </si>
  <si>
    <t xml:space="preserve">【背景画像】P2〜P10 スライド背景画像の透かし文字</t>
  </si>
  <si>
    <t xml:space="preserve">確定値ではない（速報値・確定前の透かし）</t>
  </si>
  <si>
    <t xml:space="preserve">いいえ、確定値ではありません。
スライド2〜10には「速報値（確定前）」の透かしが入っており、本資料の数値はすべて確定前の速報値として扱う必要があります。
補足として、スライド9の日別データの合計（表示1,128,224回／クリック33,829回／購入1,017件、10/12欠測日を除く30日分）は、スライド2のファネルの数値（表示1,250,000回／クリック37,500回／購入1,080件）を下回っています。この差は欠測日1日分だけでは説明しにくいため、集計範囲や確定値との違いを確認する必要があるとされています。</t>
  </si>
  <si>
    <t xml:space="preserve">08-01</t>
  </si>
  <si>
    <t xml:space="preserve">広告のクリック率（CTR）は何％ですか？</t>
  </si>
  <si>
    <t xml:space="preserve">3.0%</t>
  </si>
  <si>
    <t xml:space="preserve">【図解（フリーフォーム）】P2 ファネル横の数値</t>
  </si>
  <si>
    <t xml:space="preserve">広告のクリック率（CTR）は、全体で3.0%です（広告表示1,250,000回に対しクリック37,500回。スライド2のファネルより）。
なお、本資料の数値はすべて確定前の速報値です。
参考：
- バナー別では、バナーA（機能訴求）が3.4%、バナーB（情緒・季節訴求）が2.6%です（スライド7）。
- スライド9の日別データ（10/12欠測を除く30日分）から計算すると、33,829÷1,128,224≒3.0%で、ほぼ同じ値になります。</t>
  </si>
  <si>
    <t xml:space="preserve">08-02</t>
  </si>
  <si>
    <t xml:space="preserve">カート投入から購入に至った割合は何％ですか？</t>
  </si>
  <si>
    <r>
      <rPr>
        <sz val="10"/>
        <rFont val="Meiryo UI"/>
        <family val="0"/>
        <charset val="1"/>
      </rPr>
      <t xml:space="preserve">30%</t>
    </r>
    <r>
      <rPr>
        <sz val="10"/>
        <rFont val="WenQuanYi Zen Hei"/>
        <family val="2"/>
      </rPr>
      <t xml:space="preserve">（</t>
    </r>
    <r>
      <rPr>
        <sz val="10"/>
        <rFont val="Meiryo UI"/>
        <family val="0"/>
        <charset val="1"/>
      </rPr>
      <t xml:space="preserve">1,080÷3,600</t>
    </r>
    <r>
      <rPr>
        <sz val="10"/>
        <rFont val="WenQuanYi Zen Hei"/>
        <family val="2"/>
      </rPr>
      <t xml:space="preserve">）</t>
    </r>
  </si>
  <si>
    <t xml:space="preserve">【計算】P2 ファネル</t>
  </si>
  <si>
    <r>
      <rPr>
        <sz val="10"/>
        <rFont val="Meiryo UI"/>
        <family val="0"/>
        <charset val="1"/>
      </rPr>
      <t xml:space="preserve">30.0%</t>
    </r>
    <r>
      <rPr>
        <sz val="10"/>
        <rFont val="WenQuanYi Zen Hei"/>
        <family val="2"/>
      </rPr>
      <t xml:space="preserve">（</t>
    </r>
    <r>
      <rPr>
        <sz val="10"/>
        <rFont val="Meiryo UI"/>
        <family val="0"/>
        <charset val="1"/>
      </rPr>
      <t xml:space="preserve">1,080÷3,600</t>
    </r>
    <r>
      <rPr>
        <sz val="10"/>
        <rFont val="WenQuanYi Zen Hei"/>
        <family val="2"/>
      </rPr>
      <t xml:space="preserve">）</t>
    </r>
  </si>
  <si>
    <t xml:space="preserve">カート投入から購入に至った割合は30.0％です（カート投入3,600件→購入1,080件）。</t>
  </si>
  <si>
    <t xml:space="preserve">08-03</t>
  </si>
  <si>
    <t xml:space="preserve">商品ページの閲覧数はいくつですか？</t>
  </si>
  <si>
    <r>
      <rPr>
        <sz val="10"/>
        <rFont val="Meiryo UI"/>
        <family val="0"/>
        <charset val="1"/>
      </rPr>
      <t xml:space="preserve">22,500</t>
    </r>
    <r>
      <rPr>
        <sz val="10"/>
        <rFont val="WenQuanYi Zen Hei"/>
        <family val="2"/>
      </rPr>
      <t xml:space="preserve">回</t>
    </r>
  </si>
  <si>
    <t xml:space="preserve">【図解（フリーフォーム）】P2 ファネル（台形の図形に重ねた文字）</t>
  </si>
  <si>
    <t xml:space="preserve">商品ページの閲覧数は22,500回です（スライド2「購入までのファネル」より）。クリック37,500回からの遷移率は60.0%です。なお、本資料の数値は確定前の速報値です。</t>
  </si>
  <si>
    <t xml:space="preserve">08-04</t>
  </si>
  <si>
    <r>
      <rPr>
        <sz val="10"/>
        <rFont val="Meiryo UI"/>
        <family val="0"/>
        <charset val="1"/>
      </rPr>
      <t xml:space="preserve">CPA</t>
    </r>
    <r>
      <rPr>
        <sz val="10"/>
        <rFont val="WenQuanYi Zen Hei"/>
        <family val="2"/>
      </rPr>
      <t xml:space="preserve">が最も高いチャネルと、その値を答えてください。</t>
    </r>
  </si>
  <si>
    <t xml:space="preserve">動画、6,500円</t>
  </si>
  <si>
    <t xml:space="preserve">【複合グラフ（第2軸）】P3 第2軸の折れ線（数値ラベルなし）</t>
  </si>
  <si>
    <r>
      <rPr>
        <sz val="11"/>
        <color theme="1"/>
        <rFont val="Calibri"/>
        <family val="2"/>
        <charset val="1"/>
      </rPr>
      <t xml:space="preserve">CPA</t>
    </r>
    <r>
      <rPr>
        <sz val="11"/>
        <color theme="1"/>
        <rFont val="WenQuanYi Zen Hei"/>
        <family val="2"/>
      </rPr>
      <t xml:space="preserve">が最も高いチャネルは</t>
    </r>
    <r>
      <rPr>
        <sz val="11"/>
        <color theme="1"/>
        <rFont val="Calibri"/>
        <family val="2"/>
        <charset val="1"/>
      </rPr>
      <t xml:space="preserve">**</t>
    </r>
    <r>
      <rPr>
        <sz val="11"/>
        <color theme="1"/>
        <rFont val="WenQuanYi Zen Hei"/>
        <family val="2"/>
      </rPr>
      <t xml:space="preserve">動画広告</t>
    </r>
    <r>
      <rPr>
        <sz val="11"/>
        <color theme="1"/>
        <rFont val="Calibri"/>
        <family val="2"/>
        <charset val="1"/>
      </rPr>
      <t xml:space="preserve">**</t>
    </r>
    <r>
      <rPr>
        <sz val="11"/>
        <color theme="1"/>
        <rFont val="WenQuanYi Zen Hei"/>
        <family val="2"/>
      </rPr>
      <t xml:space="preserve">で、</t>
    </r>
    <r>
      <rPr>
        <sz val="11"/>
        <color theme="1"/>
        <rFont val="Calibri"/>
        <family val="2"/>
        <charset val="1"/>
      </rPr>
      <t xml:space="preserve">CPA</t>
    </r>
    <r>
      <rPr>
        <sz val="11"/>
        <color theme="1"/>
        <rFont val="WenQuanYi Zen Hei"/>
        <family val="2"/>
      </rPr>
      <t xml:space="preserve">は</t>
    </r>
    <r>
      <rPr>
        <sz val="11"/>
        <color theme="1"/>
        <rFont val="Calibri"/>
        <family val="2"/>
        <charset val="1"/>
      </rPr>
      <t xml:space="preserve">**6,500</t>
    </r>
    <r>
      <rPr>
        <sz val="11"/>
        <color theme="1"/>
        <rFont val="WenQuanYi Zen Hei"/>
        <family val="2"/>
      </rPr>
      <t xml:space="preserve">円</t>
    </r>
    <r>
      <rPr>
        <sz val="11"/>
        <color theme="1"/>
        <rFont val="Calibri"/>
        <family val="2"/>
        <charset val="1"/>
      </rPr>
      <t xml:space="preserve">**</t>
    </r>
    <r>
      <rPr>
        <sz val="11"/>
        <color theme="1"/>
        <rFont val="WenQuanYi Zen Hei"/>
        <family val="2"/>
      </rPr>
      <t xml:space="preserve">です（スライド</t>
    </r>
    <r>
      <rPr>
        <sz val="11"/>
        <color theme="1"/>
        <rFont val="Calibri"/>
        <family val="2"/>
        <charset val="1"/>
      </rPr>
      <t xml:space="preserve">3</t>
    </r>
    <r>
      <rPr>
        <sz val="11"/>
        <color theme="1"/>
        <rFont val="WenQuanYi Zen Hei"/>
        <family val="2"/>
      </rPr>
      <t xml:space="preserve">・</t>
    </r>
    <r>
      <rPr>
        <sz val="11"/>
        <color theme="1"/>
        <rFont val="Calibri"/>
        <family val="2"/>
        <charset val="1"/>
      </rPr>
      <t xml:space="preserve">5</t>
    </r>
    <r>
      <rPr>
        <sz val="11"/>
        <color theme="1"/>
        <rFont val="WenQuanYi Zen Hei"/>
        <family val="2"/>
      </rPr>
      <t xml:space="preserve">より。なお数値は確定前の速報値）。</t>
    </r>
  </si>
  <si>
    <t xml:space="preserve">08-05</t>
  </si>
  <si>
    <t xml:space="preserve">グラフ上の注釈は、どのチャネルについて何を説明していますか？</t>
  </si>
  <si>
    <r>
      <rPr>
        <sz val="10"/>
        <rFont val="Meiryo UI"/>
        <family val="0"/>
        <charset val="1"/>
      </rPr>
      <t xml:space="preserve">SNS</t>
    </r>
    <r>
      <rPr>
        <sz val="10"/>
        <rFont val="WenQuanYi Zen Hei"/>
        <family val="2"/>
      </rPr>
      <t xml:space="preserve">。インフルエンサー起用（</t>
    </r>
    <r>
      <rPr>
        <sz val="10"/>
        <rFont val="Meiryo UI"/>
        <family val="0"/>
        <charset val="1"/>
      </rPr>
      <t xml:space="preserve">10/5</t>
    </r>
    <r>
      <rPr>
        <sz val="10"/>
        <rFont val="WenQuanYi Zen Hei"/>
        <family val="2"/>
      </rPr>
      <t xml:space="preserve">〜）</t>
    </r>
  </si>
  <si>
    <t xml:space="preserve">【図形による注釈】P3 グラフに重ねた矢印とテキスト（位置で対応）</t>
  </si>
  <si>
    <r>
      <rPr>
        <sz val="10"/>
        <rFont val="Meiryo UI"/>
        <family val="0"/>
        <charset val="1"/>
      </rPr>
      <t xml:space="preserve">SNS</t>
    </r>
    <r>
      <rPr>
        <sz val="10"/>
        <rFont val="WenQuanYi Zen Hei"/>
        <family val="2"/>
      </rPr>
      <t xml:space="preserve">、インフルエンサー起用（</t>
    </r>
    <r>
      <rPr>
        <sz val="10"/>
        <rFont val="Meiryo UI"/>
        <family val="0"/>
        <charset val="1"/>
      </rPr>
      <t xml:space="preserve">10/5</t>
    </r>
    <r>
      <rPr>
        <sz val="10"/>
        <rFont val="WenQuanYi Zen Hei"/>
        <family val="2"/>
      </rPr>
      <t xml:space="preserve">〜）</t>
    </r>
  </si>
  <si>
    <t xml:space="preserve">グラフ上の注釈（スライド3「チャネル別の広告費とCPA」の吹き出し注記）は、SNS広告について説明しています。
- 注釈の内容：「インフルエンサー起用（10/5〜）」
- 矢印がSNSの棒（広告費）を指しており、SNS広告で10月5日からインフルエンサーを起用したことを示しています。
参考として、考察（スライド8）では、インフルエンサーの投稿後にSNS経由の流入は増えたものの購入率が低く、SNS広告のCPAが悪化したこと（実績4,100円、目標3,500円）を課題に挙げています。
なお、スライド4の週別流入グラフにも赤い破線のマーカー「キャンペーン開始」（W3の位置）があります。ただしこれは特定のチャネルについての注釈ではなく、期間の区切りを示すものです。</t>
  </si>
  <si>
    <t xml:space="preserve">08-06</t>
  </si>
  <si>
    <r>
      <rPr>
        <sz val="10"/>
        <rFont val="Meiryo UI"/>
        <family val="0"/>
        <charset val="1"/>
      </rPr>
      <t xml:space="preserve">4</t>
    </r>
    <r>
      <rPr>
        <sz val="10"/>
        <rFont val="WenQuanYi Zen Hei"/>
        <family val="2"/>
      </rPr>
      <t xml:space="preserve">チャネルの広告費の合計はいくらですか？</t>
    </r>
  </si>
  <si>
    <r>
      <rPr>
        <sz val="10"/>
        <rFont val="Meiryo UI"/>
        <family val="0"/>
        <charset val="1"/>
      </rPr>
      <t xml:space="preserve">446.6</t>
    </r>
    <r>
      <rPr>
        <sz val="10"/>
        <rFont val="WenQuanYi Zen Hei"/>
        <family val="2"/>
      </rPr>
      <t xml:space="preserve">万円（</t>
    </r>
    <r>
      <rPr>
        <sz val="10"/>
        <rFont val="Meiryo UI"/>
        <family val="0"/>
        <charset val="1"/>
      </rPr>
      <t xml:space="preserve">126</t>
    </r>
    <r>
      <rPr>
        <sz val="10"/>
        <rFont val="WenQuanYi Zen Hei"/>
        <family val="2"/>
      </rPr>
      <t xml:space="preserve">＋</t>
    </r>
    <r>
      <rPr>
        <sz val="10"/>
        <rFont val="Meiryo UI"/>
        <family val="0"/>
        <charset val="1"/>
      </rPr>
      <t xml:space="preserve">123</t>
    </r>
    <r>
      <rPr>
        <sz val="10"/>
        <rFont val="WenQuanYi Zen Hei"/>
        <family val="2"/>
      </rPr>
      <t xml:space="preserve">＋</t>
    </r>
    <r>
      <rPr>
        <sz val="10"/>
        <rFont val="Meiryo UI"/>
        <family val="0"/>
        <charset val="1"/>
      </rPr>
      <t xml:space="preserve">130</t>
    </r>
    <r>
      <rPr>
        <sz val="10"/>
        <rFont val="WenQuanYi Zen Hei"/>
        <family val="2"/>
      </rPr>
      <t xml:space="preserve">＋</t>
    </r>
    <r>
      <rPr>
        <sz val="10"/>
        <rFont val="Meiryo UI"/>
        <family val="0"/>
        <charset val="1"/>
      </rPr>
      <t xml:space="preserve">67.6</t>
    </r>
    <r>
      <rPr>
        <sz val="10"/>
        <rFont val="WenQuanYi Zen Hei"/>
        <family val="2"/>
      </rPr>
      <t xml:space="preserve">）</t>
    </r>
  </si>
  <si>
    <t xml:space="preserve">【計算】P3 棒グラフ（数値ラベルなし）</t>
  </si>
  <si>
    <r>
      <rPr>
        <sz val="10"/>
        <rFont val="Meiryo UI"/>
        <family val="0"/>
        <charset val="1"/>
      </rPr>
      <t xml:space="preserve">446.6</t>
    </r>
    <r>
      <rPr>
        <sz val="10"/>
        <rFont val="WenQuanYi Zen Hei"/>
        <family val="2"/>
      </rPr>
      <t xml:space="preserve">万円</t>
    </r>
  </si>
  <si>
    <r>
      <rPr>
        <sz val="11"/>
        <color theme="1"/>
        <rFont val="Calibri"/>
        <family val="2"/>
        <charset val="1"/>
      </rPr>
      <t xml:space="preserve">4</t>
    </r>
    <r>
      <rPr>
        <sz val="11"/>
        <color theme="1"/>
        <rFont val="WenQuanYi Zen Hei"/>
        <family val="2"/>
      </rPr>
      <t xml:space="preserve">チャネル（検索・</t>
    </r>
    <r>
      <rPr>
        <sz val="11"/>
        <color theme="1"/>
        <rFont val="Calibri"/>
        <family val="2"/>
        <charset val="1"/>
      </rPr>
      <t xml:space="preserve">SNS</t>
    </r>
    <r>
      <rPr>
        <sz val="11"/>
        <color theme="1"/>
        <rFont val="WenQuanYi Zen Hei"/>
        <family val="2"/>
      </rPr>
      <t xml:space="preserve">・動画・ディスプレイ）の広告費の合計は </t>
    </r>
    <r>
      <rPr>
        <sz val="11"/>
        <color theme="1"/>
        <rFont val="Calibri"/>
        <family val="2"/>
        <charset val="1"/>
      </rPr>
      <t xml:space="preserve">**446.6</t>
    </r>
    <r>
      <rPr>
        <sz val="11"/>
        <color theme="1"/>
        <rFont val="WenQuanYi Zen Hei"/>
        <family val="2"/>
      </rPr>
      <t xml:space="preserve">万円</t>
    </r>
    <r>
      <rPr>
        <sz val="11"/>
        <color theme="1"/>
        <rFont val="Calibri"/>
        <family val="2"/>
        <charset val="1"/>
      </rPr>
      <t xml:space="preserve">**</t>
    </r>
    <r>
      <rPr>
        <sz val="11"/>
        <color theme="1"/>
        <rFont val="WenQuanYi Zen Hei"/>
        <family val="2"/>
      </rPr>
      <t xml:space="preserve">（</t>
    </r>
    <r>
      <rPr>
        <sz val="11"/>
        <color theme="1"/>
        <rFont val="Calibri"/>
        <family val="2"/>
        <charset val="1"/>
      </rPr>
      <t xml:space="preserve">4,466,000</t>
    </r>
    <r>
      <rPr>
        <sz val="11"/>
        <color theme="1"/>
        <rFont val="WenQuanYi Zen Hei"/>
        <family val="2"/>
      </rPr>
      <t xml:space="preserve">円）です。
内訳（</t>
    </r>
    <r>
      <rPr>
        <sz val="11"/>
        <color theme="1"/>
        <rFont val="Calibri"/>
        <family val="2"/>
        <charset val="1"/>
      </rPr>
      <t xml:space="preserve">2026</t>
    </r>
    <r>
      <rPr>
        <sz val="11"/>
        <color theme="1"/>
        <rFont val="WenQuanYi Zen Hei"/>
        <family val="2"/>
      </rPr>
      <t xml:space="preserve">年</t>
    </r>
    <r>
      <rPr>
        <sz val="11"/>
        <color theme="1"/>
        <rFont val="Calibri"/>
        <family val="2"/>
        <charset val="1"/>
      </rPr>
      <t xml:space="preserve">10</t>
    </r>
    <r>
      <rPr>
        <sz val="11"/>
        <color theme="1"/>
        <rFont val="WenQuanYi Zen Hei"/>
        <family val="2"/>
      </rPr>
      <t xml:space="preserve">月、スライド</t>
    </r>
    <r>
      <rPr>
        <sz val="11"/>
        <color theme="1"/>
        <rFont val="Calibri"/>
        <family val="2"/>
        <charset val="1"/>
      </rPr>
      <t xml:space="preserve">3</t>
    </r>
    <r>
      <rPr>
        <sz val="11"/>
        <color theme="1"/>
        <rFont val="WenQuanYi Zen Hei"/>
        <family val="2"/>
      </rPr>
      <t xml:space="preserve">）：
</t>
    </r>
    <r>
      <rPr>
        <sz val="11"/>
        <color theme="1"/>
        <rFont val="Calibri"/>
        <family val="2"/>
        <charset val="1"/>
      </rPr>
      <t xml:space="preserve">- </t>
    </r>
    <r>
      <rPr>
        <sz val="11"/>
        <color theme="1"/>
        <rFont val="WenQuanYi Zen Hei"/>
        <family val="2"/>
      </rPr>
      <t xml:space="preserve">検索：</t>
    </r>
    <r>
      <rPr>
        <sz val="11"/>
        <color theme="1"/>
        <rFont val="Calibri"/>
        <family val="2"/>
        <charset val="1"/>
      </rPr>
      <t xml:space="preserve">126</t>
    </r>
    <r>
      <rPr>
        <sz val="11"/>
        <color theme="1"/>
        <rFont val="WenQuanYi Zen Hei"/>
        <family val="2"/>
      </rPr>
      <t xml:space="preserve">万円
</t>
    </r>
    <r>
      <rPr>
        <sz val="11"/>
        <color theme="1"/>
        <rFont val="Calibri"/>
        <family val="2"/>
        <charset val="1"/>
      </rPr>
      <t xml:space="preserve">- SNS</t>
    </r>
    <r>
      <rPr>
        <sz val="11"/>
        <color theme="1"/>
        <rFont val="WenQuanYi Zen Hei"/>
        <family val="2"/>
      </rPr>
      <t xml:space="preserve">：</t>
    </r>
    <r>
      <rPr>
        <sz val="11"/>
        <color theme="1"/>
        <rFont val="Calibri"/>
        <family val="2"/>
        <charset val="1"/>
      </rPr>
      <t xml:space="preserve">123</t>
    </r>
    <r>
      <rPr>
        <sz val="11"/>
        <color theme="1"/>
        <rFont val="WenQuanYi Zen Hei"/>
        <family val="2"/>
      </rPr>
      <t xml:space="preserve">万円
</t>
    </r>
    <r>
      <rPr>
        <sz val="11"/>
        <color theme="1"/>
        <rFont val="Calibri"/>
        <family val="2"/>
        <charset val="1"/>
      </rPr>
      <t xml:space="preserve">- </t>
    </r>
    <r>
      <rPr>
        <sz val="11"/>
        <color theme="1"/>
        <rFont val="WenQuanYi Zen Hei"/>
        <family val="2"/>
      </rPr>
      <t xml:space="preserve">動画：</t>
    </r>
    <r>
      <rPr>
        <sz val="11"/>
        <color theme="1"/>
        <rFont val="Calibri"/>
        <family val="2"/>
        <charset val="1"/>
      </rPr>
      <t xml:space="preserve">130</t>
    </r>
    <r>
      <rPr>
        <sz val="11"/>
        <color theme="1"/>
        <rFont val="WenQuanYi Zen Hei"/>
        <family val="2"/>
      </rPr>
      <t xml:space="preserve">万円
</t>
    </r>
    <r>
      <rPr>
        <sz val="11"/>
        <color theme="1"/>
        <rFont val="Calibri"/>
        <family val="2"/>
        <charset val="1"/>
      </rPr>
      <t xml:space="preserve">- </t>
    </r>
    <r>
      <rPr>
        <sz val="11"/>
        <color theme="1"/>
        <rFont val="WenQuanYi Zen Hei"/>
        <family val="2"/>
      </rPr>
      <t xml:space="preserve">ディスプレイ：</t>
    </r>
    <r>
      <rPr>
        <sz val="11"/>
        <color theme="1"/>
        <rFont val="Calibri"/>
        <family val="2"/>
        <charset val="1"/>
      </rPr>
      <t xml:space="preserve">67.6</t>
    </r>
    <r>
      <rPr>
        <sz val="11"/>
        <color theme="1"/>
        <rFont val="WenQuanYi Zen Hei"/>
        <family val="2"/>
      </rPr>
      <t xml:space="preserve">万円
※資料の数値は確定前の速報値です。</t>
    </r>
  </si>
  <si>
    <t xml:space="preserve">08-07</t>
  </si>
  <si>
    <r>
      <rPr>
        <sz val="10"/>
        <rFont val="Meiryo UI"/>
        <family val="0"/>
        <charset val="1"/>
      </rPr>
      <t xml:space="preserve">SNS</t>
    </r>
    <r>
      <rPr>
        <sz val="10"/>
        <rFont val="WenQuanYi Zen Hei"/>
        <family val="2"/>
      </rPr>
      <t xml:space="preserve">経由のセッション数が最も多かった週と、その数を答えてください。</t>
    </r>
  </si>
  <si>
    <r>
      <rPr>
        <sz val="10"/>
        <rFont val="Meiryo UI"/>
        <family val="0"/>
        <charset val="1"/>
      </rPr>
      <t xml:space="preserve">W4</t>
    </r>
    <r>
      <rPr>
        <sz val="10"/>
        <rFont val="WenQuanYi Zen Hei"/>
        <family val="2"/>
      </rPr>
      <t xml:space="preserve">、</t>
    </r>
    <r>
      <rPr>
        <sz val="10"/>
        <rFont val="Meiryo UI"/>
        <family val="0"/>
        <charset val="1"/>
      </rPr>
      <t xml:space="preserve">12</t>
    </r>
    <r>
      <rPr>
        <sz val="10"/>
        <rFont val="WenQuanYi Zen Hei"/>
        <family val="2"/>
      </rPr>
      <t xml:space="preserve">千（</t>
    </r>
    <r>
      <rPr>
        <sz val="10"/>
        <rFont val="Meiryo UI"/>
        <family val="0"/>
        <charset val="1"/>
      </rPr>
      <t xml:space="preserve">12,000</t>
    </r>
    <r>
      <rPr>
        <sz val="10"/>
        <rFont val="WenQuanYi Zen Hei"/>
        <family val="2"/>
      </rPr>
      <t xml:space="preserve">）</t>
    </r>
  </si>
  <si>
    <t xml:space="preserve">【面グラフ】P4 積み上げ面グラフ</t>
  </si>
  <si>
    <r>
      <rPr>
        <sz val="10"/>
        <rFont val="Meiryo UI"/>
        <family val="0"/>
        <charset val="1"/>
      </rPr>
      <t xml:space="preserve">W4</t>
    </r>
    <r>
      <rPr>
        <sz val="10"/>
        <rFont val="WenQuanYi Zen Hei"/>
        <family val="2"/>
      </rPr>
      <t xml:space="preserve">、</t>
    </r>
    <r>
      <rPr>
        <sz val="10"/>
        <rFont val="Meiryo UI"/>
        <family val="0"/>
        <charset val="1"/>
      </rPr>
      <t xml:space="preserve">12</t>
    </r>
    <r>
      <rPr>
        <sz val="10"/>
        <rFont val="WenQuanYi Zen Hei"/>
        <family val="2"/>
      </rPr>
      <t xml:space="preserve">千セッション</t>
    </r>
  </si>
  <si>
    <r>
      <rPr>
        <sz val="11"/>
        <color theme="1"/>
        <rFont val="Calibri"/>
        <family val="2"/>
        <charset val="1"/>
      </rPr>
      <t xml:space="preserve">SNS</t>
    </r>
    <r>
      <rPr>
        <sz val="11"/>
        <color theme="1"/>
        <rFont val="WenQuanYi Zen Hei"/>
        <family val="2"/>
      </rPr>
      <t xml:space="preserve">経由のセッション数が最も多かったのは </t>
    </r>
    <r>
      <rPr>
        <sz val="11"/>
        <color theme="1"/>
        <rFont val="Calibri"/>
        <family val="2"/>
        <charset val="1"/>
      </rPr>
      <t xml:space="preserve">W4 </t>
    </r>
    <r>
      <rPr>
        <sz val="11"/>
        <color theme="1"/>
        <rFont val="WenQuanYi Zen Hei"/>
        <family val="2"/>
      </rPr>
      <t xml:space="preserve">で、</t>
    </r>
    <r>
      <rPr>
        <sz val="11"/>
        <color theme="1"/>
        <rFont val="Calibri"/>
        <family val="2"/>
        <charset val="1"/>
      </rPr>
      <t xml:space="preserve">12</t>
    </r>
    <r>
      <rPr>
        <sz val="11"/>
        <color theme="1"/>
        <rFont val="WenQuanYi Zen Hei"/>
        <family val="2"/>
      </rPr>
      <t xml:space="preserve">千セッション（約</t>
    </r>
    <r>
      <rPr>
        <sz val="11"/>
        <color theme="1"/>
        <rFont val="Calibri"/>
        <family val="2"/>
        <charset val="1"/>
      </rPr>
      <t xml:space="preserve">12,000</t>
    </r>
    <r>
      <rPr>
        <sz val="11"/>
        <color theme="1"/>
        <rFont val="WenQuanYi Zen Hei"/>
        <family val="2"/>
      </rPr>
      <t xml:space="preserve">セッション）です。
（スライド</t>
    </r>
    <r>
      <rPr>
        <sz val="11"/>
        <color theme="1"/>
        <rFont val="Calibri"/>
        <family val="2"/>
        <charset val="1"/>
      </rPr>
      <t xml:space="preserve">4</t>
    </r>
    <r>
      <rPr>
        <sz val="11"/>
        <color theme="1"/>
        <rFont val="WenQuanYi Zen Hei"/>
        <family val="2"/>
      </rPr>
      <t xml:space="preserve">「週別の流入数」より。なお資料の注記では</t>
    </r>
    <r>
      <rPr>
        <sz val="11"/>
        <color theme="1"/>
        <rFont val="Calibri"/>
        <family val="2"/>
        <charset val="1"/>
      </rPr>
      <t xml:space="preserve">W1</t>
    </r>
    <r>
      <rPr>
        <sz val="11"/>
        <color theme="1"/>
        <rFont val="WenQuanYi Zen Hei"/>
        <family val="2"/>
      </rPr>
      <t xml:space="preserve">が</t>
    </r>
    <r>
      <rPr>
        <sz val="11"/>
        <color theme="1"/>
        <rFont val="Calibri"/>
        <family val="2"/>
        <charset val="1"/>
      </rPr>
      <t xml:space="preserve">9</t>
    </r>
    <r>
      <rPr>
        <sz val="11"/>
        <color theme="1"/>
        <rFont val="WenQuanYi Zen Hei"/>
        <family val="2"/>
      </rPr>
      <t xml:space="preserve">月第</t>
    </r>
    <r>
      <rPr>
        <sz val="11"/>
        <color theme="1"/>
        <rFont val="Calibri"/>
        <family val="2"/>
        <charset val="1"/>
      </rPr>
      <t xml:space="preserve">4</t>
    </r>
    <r>
      <rPr>
        <sz val="11"/>
        <color theme="1"/>
        <rFont val="WenQuanYi Zen Hei"/>
        <family val="2"/>
      </rPr>
      <t xml:space="preserve">週、</t>
    </r>
    <r>
      <rPr>
        <sz val="11"/>
        <color theme="1"/>
        <rFont val="Calibri"/>
        <family val="2"/>
        <charset val="1"/>
      </rPr>
      <t xml:space="preserve">10</t>
    </r>
    <r>
      <rPr>
        <sz val="11"/>
        <color theme="1"/>
        <rFont val="WenQuanYi Zen Hei"/>
        <family val="2"/>
      </rPr>
      <t xml:space="preserve">月</t>
    </r>
    <r>
      <rPr>
        <sz val="11"/>
        <color theme="1"/>
        <rFont val="Calibri"/>
        <family val="2"/>
        <charset val="1"/>
      </rPr>
      <t xml:space="preserve">1</t>
    </r>
    <r>
      <rPr>
        <sz val="11"/>
        <color theme="1"/>
        <rFont val="WenQuanYi Zen Hei"/>
        <family val="2"/>
      </rPr>
      <t xml:space="preserve">日を含む週が</t>
    </r>
    <r>
      <rPr>
        <sz val="11"/>
        <color theme="1"/>
        <rFont val="Calibri"/>
        <family val="2"/>
        <charset val="1"/>
      </rPr>
      <t xml:space="preserve">W2</t>
    </r>
    <r>
      <rPr>
        <sz val="11"/>
        <color theme="1"/>
        <rFont val="WenQuanYi Zen Hei"/>
        <family val="2"/>
      </rPr>
      <t xml:space="preserve">とされており、</t>
    </r>
    <r>
      <rPr>
        <sz val="11"/>
        <color theme="1"/>
        <rFont val="Calibri"/>
        <family val="2"/>
        <charset val="1"/>
      </rPr>
      <t xml:space="preserve">W4</t>
    </r>
    <r>
      <rPr>
        <sz val="11"/>
        <color theme="1"/>
        <rFont val="WenQuanYi Zen Hei"/>
        <family val="2"/>
      </rPr>
      <t xml:space="preserve">はその</t>
    </r>
    <r>
      <rPr>
        <sz val="11"/>
        <color theme="1"/>
        <rFont val="Calibri"/>
        <family val="2"/>
        <charset val="1"/>
      </rPr>
      <t xml:space="preserve">2</t>
    </r>
    <r>
      <rPr>
        <sz val="11"/>
        <color theme="1"/>
        <rFont val="WenQuanYi Zen Hei"/>
        <family val="2"/>
      </rPr>
      <t xml:space="preserve">週後にあたります。数値は速報値です。）</t>
    </r>
  </si>
  <si>
    <t xml:space="preserve">08-08</t>
  </si>
  <si>
    <t xml:space="preserve">キャンペーンは何週目に開始しましたか？</t>
  </si>
  <si>
    <r>
      <rPr>
        <sz val="10"/>
        <rFont val="Meiryo UI"/>
        <family val="0"/>
        <charset val="1"/>
      </rPr>
      <t xml:space="preserve">W3</t>
    </r>
    <r>
      <rPr>
        <sz val="10"/>
        <rFont val="WenQuanYi Zen Hei"/>
        <family val="2"/>
      </rPr>
      <t xml:space="preserve">（</t>
    </r>
    <r>
      <rPr>
        <sz val="10"/>
        <rFont val="Meiryo UI"/>
        <family val="0"/>
        <charset val="1"/>
      </rPr>
      <t xml:space="preserve">W3</t>
    </r>
    <r>
      <rPr>
        <sz val="10"/>
        <rFont val="WenQuanYi Zen Hei"/>
        <family val="2"/>
      </rPr>
      <t xml:space="preserve">の位置に開始線）</t>
    </r>
  </si>
  <si>
    <t xml:space="preserve">【図形の位置】P4 グラフに重ねた破線の位置</t>
  </si>
  <si>
    <t xml:space="preserve">グラフ上はW3、期間（10/1開始）に基づけばW2。要確認</t>
  </si>
  <si>
    <t xml:space="preserve">正解W3を含み、誤りの断定なし（W2は資料の要確認注記に基づく併記）</t>
  </si>
  <si>
    <t xml:space="preserve">資料上の記載は一致していません。
- スライド4のグラフでは、「キャンペーン開始」を示す赤の破線マーカーが **W3** の位置に引かれています。
- 一方、注記では「W1は9月第4週（10月1日を含む週をW2とする）」とされており、キャンペーン期間（2026年10月1日開始）に従えば開始週は **W2** になります。
資料自体にも「※要確認」として、開始線がW3に引かれているのはインフルエンサー起用開始（10/5〜）の週に相当する可能性がある、と注記されています（週の起算曜日は資料に記載なし）。
まとめると、グラフの表示上はW3、キャンペーン期間（10月1日開始）に基づけばW2です。どちらが正しいかは作成部署への確認が必要です。</t>
  </si>
  <si>
    <t xml:space="preserve">08-09</t>
  </si>
  <si>
    <r>
      <rPr>
        <sz val="10"/>
        <rFont val="Meiryo UI"/>
        <family val="0"/>
        <charset val="1"/>
      </rPr>
      <t xml:space="preserve">KPI</t>
    </r>
    <r>
      <rPr>
        <sz val="10"/>
        <rFont val="WenQuanYi Zen Hei"/>
        <family val="2"/>
      </rPr>
      <t xml:space="preserve">の判定で目標を達成したチャネルはどれですか？</t>
    </r>
  </si>
  <si>
    <t xml:space="preserve">検索のみ</t>
  </si>
  <si>
    <t xml:space="preserve">【結合セル】P5 2段見出しの表</t>
  </si>
  <si>
    <r>
      <rPr>
        <sz val="11"/>
        <color theme="1"/>
        <rFont val="Calibri"/>
        <family val="2"/>
        <charset val="1"/>
      </rPr>
      <t xml:space="preserve">KPI</t>
    </r>
    <r>
      <rPr>
        <sz val="11"/>
        <color theme="1"/>
        <rFont val="WenQuanYi Zen Hei"/>
        <family val="2"/>
      </rPr>
      <t xml:space="preserve">の判定で目標を達成した（判定「○」）のは検索広告のみです。
</t>
    </r>
    <r>
      <rPr>
        <sz val="11"/>
        <color theme="1"/>
        <rFont val="Calibri"/>
        <family val="2"/>
        <charset val="1"/>
      </rPr>
      <t xml:space="preserve">- </t>
    </r>
    <r>
      <rPr>
        <sz val="11"/>
        <color theme="1"/>
        <rFont val="WenQuanYi Zen Hei"/>
        <family val="2"/>
      </rPr>
      <t xml:space="preserve">検索：目標</t>
    </r>
    <r>
      <rPr>
        <sz val="11"/>
        <color theme="1"/>
        <rFont val="Calibri"/>
        <family val="2"/>
        <charset val="1"/>
      </rPr>
      <t xml:space="preserve">CPA 3,000</t>
    </r>
    <r>
      <rPr>
        <sz val="11"/>
        <color theme="1"/>
        <rFont val="WenQuanYi Zen Hei"/>
        <family val="2"/>
      </rPr>
      <t xml:space="preserve">円以下 → 実績</t>
    </r>
    <r>
      <rPr>
        <sz val="11"/>
        <color theme="1"/>
        <rFont val="Calibri"/>
        <family val="2"/>
        <charset val="1"/>
      </rPr>
      <t xml:space="preserve">2,800</t>
    </r>
    <r>
      <rPr>
        <sz val="11"/>
        <color theme="1"/>
        <rFont val="WenQuanYi Zen Hei"/>
        <family val="2"/>
      </rPr>
      <t xml:space="preserve">円、目標購入数</t>
    </r>
    <r>
      <rPr>
        <sz val="11"/>
        <color theme="1"/>
        <rFont val="Calibri"/>
        <family val="2"/>
        <charset val="1"/>
      </rPr>
      <t xml:space="preserve">400</t>
    </r>
    <r>
      <rPr>
        <sz val="11"/>
        <color theme="1"/>
        <rFont val="WenQuanYi Zen Hei"/>
        <family val="2"/>
      </rPr>
      <t xml:space="preserve">件以上 → 実績</t>
    </r>
    <r>
      <rPr>
        <sz val="11"/>
        <color theme="1"/>
        <rFont val="Calibri"/>
        <family val="2"/>
        <charset val="1"/>
      </rPr>
      <t xml:space="preserve">450</t>
    </r>
    <r>
      <rPr>
        <sz val="11"/>
        <color theme="1"/>
        <rFont val="WenQuanYi Zen Hei"/>
        <family val="2"/>
      </rPr>
      <t xml:space="preserve">件 → ○
判定基準は「</t>
    </r>
    <r>
      <rPr>
        <sz val="11"/>
        <color theme="1"/>
        <rFont val="Calibri"/>
        <family val="2"/>
        <charset val="1"/>
      </rPr>
      <t xml:space="preserve">CPA</t>
    </r>
    <r>
      <rPr>
        <sz val="11"/>
        <color theme="1"/>
        <rFont val="WenQuanYi Zen Hei"/>
        <family val="2"/>
      </rPr>
      <t xml:space="preserve">が目標以下、かつ購入数が目標以上」で、他のチャネルは</t>
    </r>
    <r>
      <rPr>
        <sz val="11"/>
        <color theme="1"/>
        <rFont val="Calibri"/>
        <family val="2"/>
        <charset val="1"/>
      </rPr>
      <t xml:space="preserve">×</t>
    </r>
    <r>
      <rPr>
        <sz val="11"/>
        <color theme="1"/>
        <rFont val="WenQuanYi Zen Hei"/>
        <family val="2"/>
      </rPr>
      <t xml:space="preserve">です。
</t>
    </r>
    <r>
      <rPr>
        <sz val="11"/>
        <color theme="1"/>
        <rFont val="Calibri"/>
        <family val="2"/>
        <charset val="1"/>
      </rPr>
      <t xml:space="preserve">- SNS</t>
    </r>
    <r>
      <rPr>
        <sz val="11"/>
        <color theme="1"/>
        <rFont val="WenQuanYi Zen Hei"/>
        <family val="2"/>
      </rPr>
      <t xml:space="preserve">：</t>
    </r>
    <r>
      <rPr>
        <sz val="11"/>
        <color theme="1"/>
        <rFont val="Calibri"/>
        <family val="2"/>
        <charset val="1"/>
      </rPr>
      <t xml:space="preserve">CPA 4,100</t>
    </r>
    <r>
      <rPr>
        <sz val="11"/>
        <color theme="1"/>
        <rFont val="WenQuanYi Zen Hei"/>
        <family val="2"/>
      </rPr>
      <t xml:space="preserve">円（目標</t>
    </r>
    <r>
      <rPr>
        <sz val="11"/>
        <color theme="1"/>
        <rFont val="Calibri"/>
        <family val="2"/>
        <charset val="1"/>
      </rPr>
      <t xml:space="preserve">3,500</t>
    </r>
    <r>
      <rPr>
        <sz val="11"/>
        <color theme="1"/>
        <rFont val="WenQuanYi Zen Hei"/>
        <family val="2"/>
      </rPr>
      <t xml:space="preserve">円）、購入</t>
    </r>
    <r>
      <rPr>
        <sz val="11"/>
        <color theme="1"/>
        <rFont val="Calibri"/>
        <family val="2"/>
        <charset val="1"/>
      </rPr>
      <t xml:space="preserve">300</t>
    </r>
    <r>
      <rPr>
        <sz val="11"/>
        <color theme="1"/>
        <rFont val="WenQuanYi Zen Hei"/>
        <family val="2"/>
      </rPr>
      <t xml:space="preserve">件（目標</t>
    </r>
    <r>
      <rPr>
        <sz val="11"/>
        <color theme="1"/>
        <rFont val="Calibri"/>
        <family val="2"/>
        <charset val="1"/>
      </rPr>
      <t xml:space="preserve">350</t>
    </r>
    <r>
      <rPr>
        <sz val="11"/>
        <color theme="1"/>
        <rFont val="WenQuanYi Zen Hei"/>
        <family val="2"/>
      </rPr>
      <t xml:space="preserve">件）→ どちらも未達
</t>
    </r>
    <r>
      <rPr>
        <sz val="11"/>
        <color theme="1"/>
        <rFont val="Calibri"/>
        <family val="2"/>
        <charset val="1"/>
      </rPr>
      <t xml:space="preserve">- </t>
    </r>
    <r>
      <rPr>
        <sz val="11"/>
        <color theme="1"/>
        <rFont val="WenQuanYi Zen Hei"/>
        <family val="2"/>
      </rPr>
      <t xml:space="preserve">動画：</t>
    </r>
    <r>
      <rPr>
        <sz val="11"/>
        <color theme="1"/>
        <rFont val="Calibri"/>
        <family val="2"/>
        <charset val="1"/>
      </rPr>
      <t xml:space="preserve">CPA 6,500</t>
    </r>
    <r>
      <rPr>
        <sz val="11"/>
        <color theme="1"/>
        <rFont val="WenQuanYi Zen Hei"/>
        <family val="2"/>
      </rPr>
      <t xml:space="preserve">円（目標</t>
    </r>
    <r>
      <rPr>
        <sz val="11"/>
        <color theme="1"/>
        <rFont val="Calibri"/>
        <family val="2"/>
        <charset val="1"/>
      </rPr>
      <t xml:space="preserve">5,000</t>
    </r>
    <r>
      <rPr>
        <sz val="11"/>
        <color theme="1"/>
        <rFont val="WenQuanYi Zen Hei"/>
        <family val="2"/>
      </rPr>
      <t xml:space="preserve">円）、購入</t>
    </r>
    <r>
      <rPr>
        <sz val="11"/>
        <color theme="1"/>
        <rFont val="Calibri"/>
        <family val="2"/>
        <charset val="1"/>
      </rPr>
      <t xml:space="preserve">200</t>
    </r>
    <r>
      <rPr>
        <sz val="11"/>
        <color theme="1"/>
        <rFont val="WenQuanYi Zen Hei"/>
        <family val="2"/>
      </rPr>
      <t xml:space="preserve">件（目標</t>
    </r>
    <r>
      <rPr>
        <sz val="11"/>
        <color theme="1"/>
        <rFont val="Calibri"/>
        <family val="2"/>
        <charset val="1"/>
      </rPr>
      <t xml:space="preserve">250</t>
    </r>
    <r>
      <rPr>
        <sz val="11"/>
        <color theme="1"/>
        <rFont val="WenQuanYi Zen Hei"/>
        <family val="2"/>
      </rPr>
      <t xml:space="preserve">件）→ どちらも未達
</t>
    </r>
    <r>
      <rPr>
        <sz val="11"/>
        <color theme="1"/>
        <rFont val="Calibri"/>
        <family val="2"/>
        <charset val="1"/>
      </rPr>
      <t xml:space="preserve">- </t>
    </r>
    <r>
      <rPr>
        <sz val="11"/>
        <color theme="1"/>
        <rFont val="WenQuanYi Zen Hei"/>
        <family val="2"/>
      </rPr>
      <t xml:space="preserve">ディスプレイ：購入</t>
    </r>
    <r>
      <rPr>
        <sz val="11"/>
        <color theme="1"/>
        <rFont val="Calibri"/>
        <family val="2"/>
        <charset val="1"/>
      </rPr>
      <t xml:space="preserve">130</t>
    </r>
    <r>
      <rPr>
        <sz val="11"/>
        <color theme="1"/>
        <rFont val="WenQuanYi Zen Hei"/>
        <family val="2"/>
      </rPr>
      <t xml:space="preserve">件は目標</t>
    </r>
    <r>
      <rPr>
        <sz val="11"/>
        <color theme="1"/>
        <rFont val="Calibri"/>
        <family val="2"/>
        <charset val="1"/>
      </rPr>
      <t xml:space="preserve">120</t>
    </r>
    <r>
      <rPr>
        <sz val="11"/>
        <color theme="1"/>
        <rFont val="WenQuanYi Zen Hei"/>
        <family val="2"/>
      </rPr>
      <t xml:space="preserve">件を上回ったものの、</t>
    </r>
    <r>
      <rPr>
        <sz val="11"/>
        <color theme="1"/>
        <rFont val="Calibri"/>
        <family val="2"/>
        <charset val="1"/>
      </rPr>
      <t xml:space="preserve">CPA 5,200</t>
    </r>
    <r>
      <rPr>
        <sz val="11"/>
        <color theme="1"/>
        <rFont val="WenQuanYi Zen Hei"/>
        <family val="2"/>
      </rPr>
      <t xml:space="preserve">円が目標</t>
    </r>
    <r>
      <rPr>
        <sz val="11"/>
        <color theme="1"/>
        <rFont val="Calibri"/>
        <family val="2"/>
        <charset val="1"/>
      </rPr>
      <t xml:space="preserve">5,000</t>
    </r>
    <r>
      <rPr>
        <sz val="11"/>
        <color theme="1"/>
        <rFont val="WenQuanYi Zen Hei"/>
        <family val="2"/>
      </rPr>
      <t xml:space="preserve">円を超えたため</t>
    </r>
    <r>
      <rPr>
        <sz val="11"/>
        <color theme="1"/>
        <rFont val="Calibri"/>
        <family val="2"/>
        <charset val="1"/>
      </rPr>
      <t xml:space="preserve">×
</t>
    </r>
    <r>
      <rPr>
        <sz val="11"/>
        <color theme="1"/>
        <rFont val="WenQuanYi Zen Hei"/>
        <family val="2"/>
      </rPr>
      <t xml:space="preserve">なお、全体の購入数</t>
    </r>
    <r>
      <rPr>
        <sz val="11"/>
        <color theme="1"/>
        <rFont val="Calibri"/>
        <family val="2"/>
        <charset val="1"/>
      </rPr>
      <t xml:space="preserve">1,080</t>
    </r>
    <r>
      <rPr>
        <sz val="11"/>
        <color theme="1"/>
        <rFont val="WenQuanYi Zen Hei"/>
        <family val="2"/>
      </rPr>
      <t xml:space="preserve">件は目標</t>
    </r>
    <r>
      <rPr>
        <sz val="11"/>
        <color theme="1"/>
        <rFont val="Calibri"/>
        <family val="2"/>
        <charset val="1"/>
      </rPr>
      <t xml:space="preserve">1,120</t>
    </r>
    <r>
      <rPr>
        <sz val="11"/>
        <color theme="1"/>
        <rFont val="WenQuanYi Zen Hei"/>
        <family val="2"/>
      </rPr>
      <t xml:space="preserve">件に届いていません（数値はすべて確定前の速報値です）。</t>
    </r>
  </si>
  <si>
    <t xml:space="preserve">08-10</t>
  </si>
  <si>
    <t xml:space="preserve">全体の購入数は、目標に対して何％達成しましたか？小数第1位まで答えてください。</t>
  </si>
  <si>
    <r>
      <rPr>
        <sz val="10"/>
        <rFont val="Meiryo UI"/>
        <family val="0"/>
        <charset val="1"/>
      </rPr>
      <t xml:space="preserve">96.4%</t>
    </r>
    <r>
      <rPr>
        <sz val="10"/>
        <rFont val="WenQuanYi Zen Hei"/>
        <family val="2"/>
      </rPr>
      <t xml:space="preserve">（</t>
    </r>
    <r>
      <rPr>
        <sz val="10"/>
        <rFont val="Meiryo UI"/>
        <family val="0"/>
        <charset val="1"/>
      </rPr>
      <t xml:space="preserve">1,080÷1,120</t>
    </r>
    <r>
      <rPr>
        <sz val="10"/>
        <rFont val="WenQuanYi Zen Hei"/>
        <family val="2"/>
      </rPr>
      <t xml:space="preserve">）</t>
    </r>
  </si>
  <si>
    <t xml:space="preserve">【計算】P5 表</t>
  </si>
  <si>
    <t xml:space="preserve">約96.4%</t>
  </si>
  <si>
    <t xml:space="preserve">全体の購入数は実績1,080件、目標1,120件で、達成率は約96.4％です（1,080÷1,120＝0.9643）。目標には届いていません。
※資料の数値は確定前の速報値です。</t>
  </si>
  <si>
    <t xml:space="preserve">08-11</t>
  </si>
  <si>
    <t xml:space="preserve">リピート率が最も高い年代と、その値を答えてください。</t>
  </si>
  <si>
    <r>
      <rPr>
        <sz val="10"/>
        <rFont val="Meiryo UI"/>
        <family val="0"/>
        <charset val="1"/>
      </rPr>
      <t xml:space="preserve">50</t>
    </r>
    <r>
      <rPr>
        <sz val="10"/>
        <rFont val="WenQuanYi Zen Hei"/>
        <family val="2"/>
      </rPr>
      <t xml:space="preserve">代以上、</t>
    </r>
    <r>
      <rPr>
        <sz val="10"/>
        <rFont val="Meiryo UI"/>
        <family val="0"/>
        <charset val="1"/>
      </rPr>
      <t xml:space="preserve">41%</t>
    </r>
  </si>
  <si>
    <t xml:space="preserve">【散布図】P6 散布図（数値ラベルなし）</t>
  </si>
  <si>
    <t xml:space="preserve">リピート率が最も高い年代は「50代以上」で、その値は41%です（スライド6「年代別の購入傾向」の散布図データより）。</t>
  </si>
  <si>
    <t xml:space="preserve">08-12</t>
  </si>
  <si>
    <t xml:space="preserve">平均購入単価が5,000円未満の年代はどれですか？</t>
  </si>
  <si>
    <r>
      <rPr>
        <sz val="10"/>
        <rFont val="Meiryo UI"/>
        <family val="0"/>
        <charset val="1"/>
      </rPr>
      <t xml:space="preserve">20</t>
    </r>
    <r>
      <rPr>
        <sz val="10"/>
        <rFont val="WenQuanYi Zen Hei"/>
        <family val="2"/>
      </rPr>
      <t xml:space="preserve">代（</t>
    </r>
    <r>
      <rPr>
        <sz val="10"/>
        <rFont val="Meiryo UI"/>
        <family val="0"/>
        <charset val="1"/>
      </rPr>
      <t xml:space="preserve">3,800</t>
    </r>
    <r>
      <rPr>
        <sz val="10"/>
        <rFont val="WenQuanYi Zen Hei"/>
        <family val="2"/>
      </rPr>
      <t xml:space="preserve">円）</t>
    </r>
  </si>
  <si>
    <t xml:space="preserve">【散布図】P6 散布図</t>
  </si>
  <si>
    <t xml:space="preserve">平均購入単価が5,000円未満の年代は「20代」です（平均購入単価3,800円）。
※30代は5,200円、40代は6,900円、50代以上は7,400円で、いずれも5,000円以上です（スライド6「年代別の購入傾向」、数値は速報値）。</t>
  </si>
  <si>
    <t xml:space="preserve">08-13</t>
  </si>
  <si>
    <t xml:space="preserve">縦書きで掲載されている『顧客の声』の内容を答えてください。</t>
  </si>
  <si>
    <t xml:space="preserve">「香りが長続きして気に入っています」（五十代・女性）</t>
  </si>
  <si>
    <t xml:space="preserve">【縦書き】P6 縦書きテキストボックス</t>
  </si>
  <si>
    <t xml:space="preserve">スライド6「年代別の購入傾向」に、縦書きの囲み枠で次の顧客の声が載っています。
「香りが長続きして気に入っています」（五十代・女性）
補足：資料の注記にあるとおり、声の主の属性は漢数字で「五十代」と書かれています。グラフの区分は「50代以上」なので、表記がそろっていません。</t>
  </si>
  <si>
    <t xml:space="preserve">08-14</t>
  </si>
  <si>
    <t xml:space="preserve">クリック率が高かったバナーのキャッチコピーを答えてください。</t>
  </si>
  <si>
    <t xml:space="preserve">「うるおい、72時間。」（バナーA、CTR 3.4%）</t>
  </si>
  <si>
    <t xml:space="preserve">【画像内文字】P7 バナー画像＋表</t>
  </si>
  <si>
    <t xml:space="preserve">「うるおい、72時間。」（バナーA、CTR3.4%）</t>
  </si>
  <si>
    <t xml:space="preserve">クリック率が高かったのはバナーA（CTR 3.4%、バナーBは2.6%）で、そのキャッチコピーは「うるおい、72時間。」です（商品：LUMIERE モイストセラム、機能訴求）。</t>
  </si>
  <si>
    <t xml:space="preserve">08-15</t>
  </si>
  <si>
    <t xml:space="preserve">『課題』の下に挙げられている項目をすべて答えてください。</t>
  </si>
  <si>
    <r>
      <rPr>
        <sz val="10"/>
        <rFont val="Meiryo UI"/>
        <family val="0"/>
        <charset val="1"/>
      </rPr>
      <t xml:space="preserve">SNS</t>
    </r>
    <r>
      <rPr>
        <sz val="10"/>
        <rFont val="WenQuanYi Zen Hei"/>
        <family val="2"/>
      </rPr>
      <t xml:space="preserve">広告の</t>
    </r>
    <r>
      <rPr>
        <sz val="10"/>
        <rFont val="Meiryo UI"/>
        <family val="0"/>
        <charset val="1"/>
      </rPr>
      <t xml:space="preserve">CPA</t>
    </r>
    <r>
      <rPr>
        <sz val="10"/>
        <rFont val="WenQuanYi Zen Hei"/>
        <family val="2"/>
      </rPr>
      <t xml:space="preserve">悪化、動画広告の費用対効果（＋それぞれの補足）</t>
    </r>
  </si>
  <si>
    <t xml:space="preserve">【階層構造・2段組】P8 箇条書きのインデント階層</t>
  </si>
  <si>
    <r>
      <rPr>
        <sz val="10"/>
        <rFont val="Meiryo UI"/>
        <family val="0"/>
        <charset val="1"/>
      </rPr>
      <t xml:space="preserve">SNS</t>
    </r>
    <r>
      <rPr>
        <sz val="10"/>
        <rFont val="WenQuanYi Zen Hei"/>
        <family val="2"/>
      </rPr>
      <t xml:space="preserve">広告の</t>
    </r>
    <r>
      <rPr>
        <sz val="10"/>
        <rFont val="Meiryo UI"/>
        <family val="0"/>
        <charset val="1"/>
      </rPr>
      <t xml:space="preserve">CPA</t>
    </r>
    <r>
      <rPr>
        <sz val="10"/>
        <rFont val="WenQuanYi Zen Hei"/>
        <family val="2"/>
      </rPr>
      <t xml:space="preserve">悪化、動画広告の費用対効果（＋補足）</t>
    </r>
  </si>
  <si>
    <t xml:space="preserve">『課題』（スライド8：考察）の下に挙げられている項目は以下の2つです。
1. SNS広告のCPA悪化
   - インフルエンサー投稿後に流入は増えたが、購入率が低い
2. 動画広告の費用対効果
   - 視聴完了率 22%（目標 35%）</t>
  </si>
  <si>
    <t xml:space="preserve">08-16</t>
  </si>
  <si>
    <t xml:space="preserve">動画広告の視聴完了率と、その目標値を答えてください。</t>
  </si>
  <si>
    <r>
      <rPr>
        <sz val="10"/>
        <rFont val="Meiryo UI"/>
        <family val="0"/>
        <charset val="1"/>
      </rPr>
      <t xml:space="preserve">22%</t>
    </r>
    <r>
      <rPr>
        <sz val="10"/>
        <rFont val="WenQuanYi Zen Hei"/>
        <family val="2"/>
      </rPr>
      <t xml:space="preserve">（目標</t>
    </r>
    <r>
      <rPr>
        <sz val="10"/>
        <rFont val="Meiryo UI"/>
        <family val="0"/>
        <charset val="1"/>
      </rPr>
      <t xml:space="preserve">35%</t>
    </r>
    <r>
      <rPr>
        <sz val="10"/>
        <rFont val="WenQuanYi Zen Hei"/>
        <family val="2"/>
      </rPr>
      <t xml:space="preserve">）</t>
    </r>
  </si>
  <si>
    <t xml:space="preserve">【階層構造】P8 第3階層の箇条書き</t>
  </si>
  <si>
    <t xml:space="preserve">動画広告の視聴完了率は22%で、目標値は35%です（スライド8「考察」の課題欄より。目標に対して13ポイント未達）。なお、本資料の数値はすべて確定前の速報値です。</t>
  </si>
  <si>
    <t xml:space="preserve">08-17</t>
  </si>
  <si>
    <t xml:space="preserve">日別データの中で、欠測となっている日はいつですか？理由も答えてください。</t>
  </si>
  <si>
    <r>
      <rPr>
        <sz val="10"/>
        <rFont val="Meiryo UI"/>
        <family val="0"/>
        <charset val="1"/>
      </rPr>
      <t xml:space="preserve">2026</t>
    </r>
    <r>
      <rPr>
        <sz val="10"/>
        <rFont val="WenQuanYi Zen Hei"/>
        <family val="2"/>
      </rPr>
      <t xml:space="preserve">年</t>
    </r>
    <r>
      <rPr>
        <sz val="10"/>
        <rFont val="Meiryo UI"/>
        <family val="0"/>
        <charset val="1"/>
      </rPr>
      <t xml:space="preserve">10</t>
    </r>
    <r>
      <rPr>
        <sz val="10"/>
        <rFont val="WenQuanYi Zen Hei"/>
        <family val="2"/>
      </rPr>
      <t xml:space="preserve">月</t>
    </r>
    <r>
      <rPr>
        <sz val="10"/>
        <rFont val="Meiryo UI"/>
        <family val="0"/>
        <charset val="1"/>
      </rPr>
      <t xml:space="preserve">12</t>
    </r>
    <r>
      <rPr>
        <sz val="10"/>
        <rFont val="WenQuanYi Zen Hei"/>
        <family val="2"/>
      </rPr>
      <t xml:space="preserve">日。計測タグの不具合</t>
    </r>
  </si>
  <si>
    <t xml:space="preserve">【埋め込みExcel】P9 埋め込みExcelファイル内のデータと注記</t>
  </si>
  <si>
    <r>
      <rPr>
        <sz val="10"/>
        <rFont val="Meiryo UI"/>
        <family val="0"/>
        <charset val="1"/>
      </rPr>
      <t xml:space="preserve">2026</t>
    </r>
    <r>
      <rPr>
        <sz val="10"/>
        <rFont val="WenQuanYi Zen Hei"/>
        <family val="2"/>
      </rPr>
      <t xml:space="preserve">年</t>
    </r>
    <r>
      <rPr>
        <sz val="10"/>
        <rFont val="Meiryo UI"/>
        <family val="0"/>
        <charset val="1"/>
      </rPr>
      <t xml:space="preserve">10</t>
    </r>
    <r>
      <rPr>
        <sz val="10"/>
        <rFont val="WenQuanYi Zen Hei"/>
        <family val="2"/>
      </rPr>
      <t xml:space="preserve">月</t>
    </r>
    <r>
      <rPr>
        <sz val="10"/>
        <rFont val="Meiryo UI"/>
        <family val="0"/>
        <charset val="1"/>
      </rPr>
      <t xml:space="preserve">12</t>
    </r>
    <r>
      <rPr>
        <sz val="10"/>
        <rFont val="WenQuanYi Zen Hei"/>
        <family val="2"/>
      </rPr>
      <t xml:space="preserve">日、計測タグの不具合</t>
    </r>
  </si>
  <si>
    <t xml:space="preserve">欠測となっている日は **2026年10月12日** です（表示回数・クリック・購入のすべてが欠測）。
理由：**計測タグの不具合**によるものです（スライド9の埋め込みExcel「日別」シート内の注記「※10/12は計測タグの不具合により欠測」）。</t>
  </si>
  <si>
    <t xml:space="preserve">08-18</t>
  </si>
  <si>
    <t xml:space="preserve">動画広告は今後どうする方向ですか？</t>
  </si>
  <si>
    <r>
      <rPr>
        <sz val="10"/>
        <rFont val="Meiryo UI"/>
        <family val="0"/>
        <charset val="1"/>
      </rPr>
      <t xml:space="preserve">12</t>
    </r>
    <r>
      <rPr>
        <sz val="10"/>
        <rFont val="WenQuanYi Zen Hei"/>
        <family val="2"/>
      </rPr>
      <t xml:space="preserve">月の配信結果が改善しなければ</t>
    </r>
    <r>
      <rPr>
        <sz val="10"/>
        <rFont val="Meiryo UI"/>
        <family val="0"/>
        <charset val="1"/>
      </rPr>
      <t xml:space="preserve">2027</t>
    </r>
    <r>
      <rPr>
        <sz val="10"/>
        <rFont val="WenQuanYi Zen Hei"/>
        <family val="2"/>
      </rPr>
      <t xml:space="preserve">年</t>
    </r>
    <r>
      <rPr>
        <sz val="10"/>
        <rFont val="Meiryo UI"/>
        <family val="0"/>
        <charset val="1"/>
      </rPr>
      <t xml:space="preserve">1</t>
    </r>
    <r>
      <rPr>
        <sz val="10"/>
        <rFont val="WenQuanYi Zen Hei"/>
        <family val="2"/>
      </rPr>
      <t xml:space="preserve">月で停止する方向（社内合意前）</t>
    </r>
  </si>
  <si>
    <t xml:space="preserve">配信内容見直し・予算80万円に減額。ノートより「12月改善なければ2027年1月で停止の方向（社内合意前）」</t>
  </si>
  <si>
    <t xml:space="preserve">資料（スライド10「次期施策と予算配分（案）」）によると、動画広告は「配信内容を見直す」方向です。
- 予算：10月の130万円から、次期（12月）は80万円に減らす案です（−50万円）。全チャネルで最も大きい減額です。
- 理由（スライド3・5・8）：CPAが6,500円で全チャネル中もっとも高く、目標の5,000円を超えています。購入数も200件で、目標の250件に届いていません。視聴完了率も22%で、目標の35%を下回っており、「費用対効果」が課題に挙げられています。
なお、スライド10の発表者ノートには「12月の配信結果が改善しなければ2027年1月で停止する方向」と書かれています。ただしこれは社内合意前の情報で、資料本体には載せない扱いになっているため、取扱いには注意が必要です。</t>
  </si>
  <si>
    <t xml:space="preserve">08-19</t>
  </si>
  <si>
    <t xml:space="preserve">年代別の購入者数を答えてください。</t>
  </si>
  <si>
    <t xml:space="preserve">【記載なし】P6（単価とリピート率のみ）</t>
  </si>
  <si>
    <t xml:space="preserve">記載なし（単価とリピート率のみ）</t>
  </si>
  <si>
    <t xml:space="preserve">資料には、年代別の購入者数（人数・件数）は記載されていません。
スライド6「年代別の購入傾向」に載っているのは、年代別の平均購入単価とリピート率だけです。
| 年代 | 平均購入単価（円） | リピート率（%） |
| --- | --- | --- |
| 20代 | 3,800 | 18 |
| 30代 | 5,200 | 26 |
| 40代 | 6,900 | 34 |
| 50代以上 | 7,400 | 41 |
全体の購入数は1,080件（スライド2・5、速報値）ですが、年代ごとの内訳はありません。年代別の購入者数を知りたい場合は、元データを作成部署（デジタルマーケティング部）に確認する必要があります。</t>
  </si>
  <si>
    <t xml:space="preserve">08-20</t>
  </si>
  <si>
    <t xml:space="preserve">対象：09_組織再編案.pptx（10枚）</t>
  </si>
  <si>
    <t xml:space="preserve">この資料のバージョンと改訂日を答えてください。</t>
  </si>
  <si>
    <r>
      <rPr>
        <sz val="10"/>
        <rFont val="Meiryo UI"/>
        <family val="0"/>
        <charset val="1"/>
      </rPr>
      <t xml:space="preserve">Ver.3.2</t>
    </r>
    <r>
      <rPr>
        <sz val="10"/>
        <rFont val="WenQuanYi Zen Hei"/>
        <family val="2"/>
      </rPr>
      <t xml:space="preserve">、</t>
    </r>
    <r>
      <rPr>
        <sz val="10"/>
        <rFont val="Meiryo UI"/>
        <family val="0"/>
        <charset val="1"/>
      </rPr>
      <t xml:space="preserve">2026</t>
    </r>
    <r>
      <rPr>
        <sz val="10"/>
        <rFont val="WenQuanYi Zen Hei"/>
        <family val="2"/>
      </rPr>
      <t xml:space="preserve">年</t>
    </r>
    <r>
      <rPr>
        <sz val="10"/>
        <rFont val="Meiryo UI"/>
        <family val="0"/>
        <charset val="1"/>
      </rPr>
      <t xml:space="preserve">11</t>
    </r>
    <r>
      <rPr>
        <sz val="10"/>
        <rFont val="WenQuanYi Zen Hei"/>
        <family val="2"/>
      </rPr>
      <t xml:space="preserve">月</t>
    </r>
    <r>
      <rPr>
        <sz val="10"/>
        <rFont val="Meiryo UI"/>
        <family val="0"/>
        <charset val="1"/>
      </rPr>
      <t xml:space="preserve">2</t>
    </r>
    <r>
      <rPr>
        <sz val="10"/>
        <rFont val="WenQuanYi Zen Hei"/>
        <family val="2"/>
      </rPr>
      <t xml:space="preserve">日改訂</t>
    </r>
  </si>
  <si>
    <t xml:space="preserve">【スライドレイアウト】スライドレイアウト（マスター側）に配置したテキスト。各スライドには含まれない</t>
  </si>
  <si>
    <t xml:space="preserve">この資料のバージョンは「Ver.3.2」、改訂日は「2026/11/02」（2026年11月2日）です。
※全スライドの右上に「Ver.3.2（2026/11/02 改訂）」と表示されています。なお、資料内の注記では、発表者ノートに11月25日に実施済みの事項（労働組合への説明）が書かれているため、ノートと本文で更新した時期が異なる可能性があると指摘されています。</t>
  </si>
  <si>
    <t xml:space="preserve">09-01</t>
  </si>
  <si>
    <t xml:space="preserve">資料の『第2部』のセクション名と、含まれるスライドの範囲を答えてください。</t>
  </si>
  <si>
    <t xml:space="preserve">第2部 新組織案（スライド5〜8）</t>
  </si>
  <si>
    <t xml:space="preserve">【セクション】プレゼンテーションのセクション設定</t>
  </si>
  <si>
    <t xml:space="preserve">NG</t>
  </si>
  <si>
    <t xml:space="preserve">「第2部」のセクション記載なし、回答不可</t>
  </si>
  <si>
    <t xml:space="preserve">NG：入力MDにセクション情報（第2部 新組織案／スライド5〜8）がなく、資料から正解を答えられないためNG</t>
  </si>
  <si>
    <t xml:space="preserve">資料には「第2部」というセクション（部構成）の記載がありません。
この資料はスライド1〜10が「スライド1：表紙」「スライド2：部門間の業務重複」…「スライド10：決裁事項とスケジュール」と順番に並んでいるだけで、「第1部」「第2部」といった部の区分やセクション名は書かれていません。そのため、「第2部」のセクション名とスライドの範囲は資料からは答えられません。</t>
  </si>
  <si>
    <t xml:space="preserve">09-02</t>
  </si>
  <si>
    <r>
      <rPr>
        <sz val="10"/>
        <rFont val="Meiryo UI"/>
        <family val="0"/>
        <charset val="1"/>
      </rPr>
      <t xml:space="preserve">3</t>
    </r>
    <r>
      <rPr>
        <sz val="10"/>
        <rFont val="WenQuanYi Zen Hei"/>
        <family val="2"/>
      </rPr>
      <t xml:space="preserve">部門すべてで重複している業務は何件ですか？</t>
    </r>
  </si>
  <si>
    <r>
      <rPr>
        <sz val="10"/>
        <rFont val="Meiryo UI"/>
        <family val="0"/>
        <charset val="1"/>
      </rPr>
      <t xml:space="preserve">5</t>
    </r>
    <r>
      <rPr>
        <sz val="10"/>
        <rFont val="WenQuanYi Zen Hei"/>
        <family val="2"/>
      </rPr>
      <t xml:space="preserve">件</t>
    </r>
  </si>
  <si>
    <t xml:space="preserve">【図解（ベン図）】P2 円の重なりの中央</t>
  </si>
  <si>
    <r>
      <rPr>
        <sz val="11"/>
        <color theme="1"/>
        <rFont val="Calibri"/>
        <family val="2"/>
        <charset val="1"/>
      </rPr>
      <t xml:space="preserve">3</t>
    </r>
    <r>
      <rPr>
        <sz val="11"/>
        <color theme="1"/>
        <rFont val="WenQuanYi Zen Hei"/>
        <family val="2"/>
      </rPr>
      <t xml:space="preserve">部門すべてで重複している業務は</t>
    </r>
    <r>
      <rPr>
        <sz val="11"/>
        <color theme="1"/>
        <rFont val="Calibri"/>
        <family val="2"/>
        <charset val="1"/>
      </rPr>
      <t xml:space="preserve">5</t>
    </r>
    <r>
      <rPr>
        <sz val="11"/>
        <color theme="1"/>
        <rFont val="WenQuanYi Zen Hei"/>
        <family val="2"/>
      </rPr>
      <t xml:space="preserve">件です（スライド</t>
    </r>
    <r>
      <rPr>
        <sz val="11"/>
        <color theme="1"/>
        <rFont val="Calibri"/>
        <family val="2"/>
        <charset val="1"/>
      </rPr>
      <t xml:space="preserve">2</t>
    </r>
    <r>
      <rPr>
        <sz val="11"/>
        <color theme="1"/>
        <rFont val="WenQuanYi Zen Hei"/>
        <family val="2"/>
      </rPr>
      <t xml:space="preserve">のベン図より）。</t>
    </r>
  </si>
  <si>
    <t xml:space="preserve">09-03</t>
  </si>
  <si>
    <t xml:space="preserve">営業部とCS部の2部門だけで重複している業務は何件ですか？</t>
  </si>
  <si>
    <r>
      <rPr>
        <sz val="10"/>
        <rFont val="Meiryo UI"/>
        <family val="0"/>
        <charset val="1"/>
      </rPr>
      <t xml:space="preserve">9</t>
    </r>
    <r>
      <rPr>
        <sz val="10"/>
        <rFont val="WenQuanYi Zen Hei"/>
        <family val="2"/>
      </rPr>
      <t xml:space="preserve">件</t>
    </r>
  </si>
  <si>
    <t xml:space="preserve">【図解（ベン図）】P2 ベン図の位置</t>
  </si>
  <si>
    <t xml:space="preserve">営業部とCS部の2部門だけで重複している業務は9件です（スライド2のベン図「営業部 ∩ CS部（2部門重複）」）。3部門すべてで重複している5件は含みません。</t>
  </si>
  <si>
    <t xml:space="preserve">09-04</t>
  </si>
  <si>
    <t xml:space="preserve">営業部が他部門と重複して行っている業務は合計何件ですか？</t>
  </si>
  <si>
    <r>
      <rPr>
        <sz val="10"/>
        <rFont val="Meiryo UI"/>
        <family val="0"/>
        <charset val="1"/>
      </rPr>
      <t xml:space="preserve">26</t>
    </r>
    <r>
      <rPr>
        <sz val="10"/>
        <rFont val="WenQuanYi Zen Hei"/>
        <family val="2"/>
      </rPr>
      <t xml:space="preserve">件（</t>
    </r>
    <r>
      <rPr>
        <sz val="10"/>
        <rFont val="Meiryo UI"/>
        <family val="0"/>
        <charset val="1"/>
      </rPr>
      <t xml:space="preserve">12</t>
    </r>
    <r>
      <rPr>
        <sz val="10"/>
        <rFont val="WenQuanYi Zen Hei"/>
        <family val="2"/>
      </rPr>
      <t xml:space="preserve">＋</t>
    </r>
    <r>
      <rPr>
        <sz val="10"/>
        <rFont val="Meiryo UI"/>
        <family val="0"/>
        <charset val="1"/>
      </rPr>
      <t xml:space="preserve">9</t>
    </r>
    <r>
      <rPr>
        <sz val="10"/>
        <rFont val="WenQuanYi Zen Hei"/>
        <family val="2"/>
      </rPr>
      <t xml:space="preserve">＋</t>
    </r>
    <r>
      <rPr>
        <sz val="10"/>
        <rFont val="Meiryo UI"/>
        <family val="0"/>
        <charset val="1"/>
      </rPr>
      <t xml:space="preserve">5</t>
    </r>
    <r>
      <rPr>
        <sz val="10"/>
        <rFont val="WenQuanYi Zen Hei"/>
        <family val="2"/>
      </rPr>
      <t xml:space="preserve">）</t>
    </r>
  </si>
  <si>
    <t xml:space="preserve">【計算】P2 ベン図</t>
  </si>
  <si>
    <t xml:space="preserve">営業部が他部門と重複して行っている業務は合計 **26件** です。
内訳（スライド2のベン図より）：
- 営業部 ∩ マーケティング部（2部門重複）：12件
- 営業部 ∩ CS部（2部門重複）：9件
- 3部門すべてで重複：5件
12 + 9 + 5 = 26件（営業部の関与件数44件から営業部のみの18件を引いた数とも一致します）。</t>
  </si>
  <si>
    <t xml:space="preserve">09-05</t>
  </si>
  <si>
    <t xml:space="preserve">『顧客情報が分散』のグループに属する付箋の内容をすべて答えてください。</t>
  </si>
  <si>
    <t xml:space="preserve">顧客リストが部署ごとに別／問い合わせ履歴が共有されない／同じ顧客に重複して連絡／Excel管理が限界</t>
  </si>
  <si>
    <t xml:space="preserve">【位置（親和図）】P3 付箋の配置（グループ化なし・回転あり）</t>
  </si>
  <si>
    <t xml:space="preserve">『顧客情報が分散』のグループに属する付箋は次の4枚です（スライド3：現場の声の親和図より）。
- 顧客リストが部署ごとに別
- 問い合わせ履歴が共有されない
- 同じ顧客に重複して連絡
- Excel管理が限界</t>
  </si>
  <si>
    <t xml:space="preserve">09-06</t>
  </si>
  <si>
    <t xml:space="preserve">付箋の枚数が最も少ないグループと、その枚数を答えてください。</t>
  </si>
  <si>
    <t xml:space="preserve">評価が不透明、2枚</t>
  </si>
  <si>
    <t xml:space="preserve">【位置（親和図）】P3 付箋の配置</t>
  </si>
  <si>
    <t xml:space="preserve">付箋の枚数が最も少ないグループは「評価が不透明」で、付箋は2枚です（「評価基準が部署で違う」「成果が見えにくい」）。
参考：「意思決定が遅い」は3枚、「顧客情報が分散」は4枚です。</t>
  </si>
  <si>
    <t xml:space="preserve">09-07</t>
  </si>
  <si>
    <r>
      <rPr>
        <sz val="10"/>
        <rFont val="Meiryo UI"/>
        <family val="0"/>
        <charset val="1"/>
      </rPr>
      <t xml:space="preserve">DX</t>
    </r>
    <r>
      <rPr>
        <sz val="10"/>
        <rFont val="WenQuanYi Zen Hei"/>
        <family val="2"/>
      </rPr>
      <t xml:space="preserve">成熟度の評価が最も低い部門と、その評価を答えてください。</t>
    </r>
  </si>
  <si>
    <r>
      <rPr>
        <sz val="10"/>
        <rFont val="Meiryo UI"/>
        <family val="0"/>
        <charset val="1"/>
      </rPr>
      <t xml:space="preserve">CS</t>
    </r>
    <r>
      <rPr>
        <sz val="10"/>
        <rFont val="WenQuanYi Zen Hei"/>
        <family val="2"/>
      </rPr>
      <t xml:space="preserve">部、★</t>
    </r>
    <r>
      <rPr>
        <sz val="10"/>
        <rFont val="Meiryo UI"/>
        <family val="0"/>
        <charset val="1"/>
      </rPr>
      <t xml:space="preserve">1</t>
    </r>
    <r>
      <rPr>
        <sz val="10"/>
        <rFont val="WenQuanYi Zen Hei"/>
        <family val="2"/>
      </rPr>
      <t xml:space="preserve">つ（</t>
    </r>
    <r>
      <rPr>
        <sz val="10"/>
        <rFont val="Meiryo UI"/>
        <family val="0"/>
        <charset val="1"/>
      </rPr>
      <t xml:space="preserve">5</t>
    </r>
    <r>
      <rPr>
        <sz val="10"/>
        <rFont val="WenQuanYi Zen Hei"/>
        <family val="2"/>
      </rPr>
      <t xml:space="preserve">段階中</t>
    </r>
    <r>
      <rPr>
        <sz val="10"/>
        <rFont val="Meiryo UI"/>
        <family val="0"/>
        <charset val="1"/>
      </rPr>
      <t xml:space="preserve">1</t>
    </r>
    <r>
      <rPr>
        <sz val="10"/>
        <rFont val="WenQuanYi Zen Hei"/>
        <family val="2"/>
      </rPr>
      <t xml:space="preserve">）</t>
    </r>
  </si>
  <si>
    <t xml:space="preserve">【画像（アイコン）】P4 表のセルに重ねた星の画像</t>
  </si>
  <si>
    <r>
      <rPr>
        <sz val="10"/>
        <rFont val="Meiryo UI"/>
        <family val="0"/>
        <charset val="1"/>
      </rPr>
      <t xml:space="preserve">CS</t>
    </r>
    <r>
      <rPr>
        <sz val="10"/>
        <rFont val="WenQuanYi Zen Hei"/>
        <family val="2"/>
      </rPr>
      <t xml:space="preserve">部、★</t>
    </r>
    <r>
      <rPr>
        <sz val="10"/>
        <rFont val="Meiryo UI"/>
        <family val="0"/>
        <charset val="1"/>
      </rPr>
      <t xml:space="preserve">1</t>
    </r>
    <r>
      <rPr>
        <sz val="10"/>
        <rFont val="WenQuanYi Zen Hei"/>
        <family val="2"/>
      </rPr>
      <t xml:space="preserve">つ（</t>
    </r>
    <r>
      <rPr>
        <sz val="10"/>
        <rFont val="Meiryo UI"/>
        <family val="0"/>
        <charset val="1"/>
      </rPr>
      <t xml:space="preserve">1/5</t>
    </r>
    <r>
      <rPr>
        <sz val="10"/>
        <rFont val="WenQuanYi Zen Hei"/>
        <family val="2"/>
      </rPr>
      <t xml:space="preserve">）</t>
    </r>
  </si>
  <si>
    <r>
      <rPr>
        <sz val="11"/>
        <color theme="1"/>
        <rFont val="Calibri"/>
        <family val="2"/>
        <charset val="1"/>
      </rPr>
      <t xml:space="preserve">DX</t>
    </r>
    <r>
      <rPr>
        <sz val="11"/>
        <color theme="1"/>
        <rFont val="WenQuanYi Zen Hei"/>
        <family val="2"/>
      </rPr>
      <t xml:space="preserve">成熟度の評価が最も低い部門は</t>
    </r>
    <r>
      <rPr>
        <sz val="11"/>
        <color theme="1"/>
        <rFont val="Calibri"/>
        <family val="2"/>
        <charset val="1"/>
      </rPr>
      <t xml:space="preserve">CS</t>
    </r>
    <r>
      <rPr>
        <sz val="11"/>
        <color theme="1"/>
        <rFont val="WenQuanYi Zen Hei"/>
        <family val="2"/>
      </rPr>
      <t xml:space="preserve">部で、評価は★</t>
    </r>
    <r>
      <rPr>
        <sz val="11"/>
        <color theme="1"/>
        <rFont val="Calibri"/>
        <family val="2"/>
        <charset val="1"/>
      </rPr>
      <t xml:space="preserve">1</t>
    </r>
    <r>
      <rPr>
        <sz val="11"/>
        <color theme="1"/>
        <rFont val="WenQuanYi Zen Hei"/>
        <family val="2"/>
      </rPr>
      <t xml:space="preserve">つ（</t>
    </r>
    <r>
      <rPr>
        <sz val="11"/>
        <color theme="1"/>
        <rFont val="Calibri"/>
        <family val="2"/>
        <charset val="1"/>
      </rPr>
      <t xml:space="preserve">1/5</t>
    </r>
    <r>
      <rPr>
        <sz val="11"/>
        <color theme="1"/>
        <rFont val="WenQuanYi Zen Hei"/>
        <family val="2"/>
      </rPr>
      <t xml:space="preserve">、★☆☆☆☆）です（</t>
    </r>
    <r>
      <rPr>
        <sz val="11"/>
        <color theme="1"/>
        <rFont val="Calibri"/>
        <family val="2"/>
        <charset val="1"/>
      </rPr>
      <t xml:space="preserve">2026</t>
    </r>
    <r>
      <rPr>
        <sz val="11"/>
        <color theme="1"/>
        <rFont val="WenQuanYi Zen Hei"/>
        <family val="2"/>
      </rPr>
      <t xml:space="preserve">年</t>
    </r>
    <r>
      <rPr>
        <sz val="11"/>
        <color theme="1"/>
        <rFont val="Calibri"/>
        <family val="2"/>
        <charset val="1"/>
      </rPr>
      <t xml:space="preserve">9</t>
    </r>
    <r>
      <rPr>
        <sz val="11"/>
        <color theme="1"/>
        <rFont val="WenQuanYi Zen Hei"/>
        <family val="2"/>
      </rPr>
      <t xml:space="preserve">月 社内アセスメント、★</t>
    </r>
    <r>
      <rPr>
        <sz val="11"/>
        <color theme="1"/>
        <rFont val="Calibri"/>
        <family val="2"/>
        <charset val="1"/>
      </rPr>
      <t xml:space="preserve">5</t>
    </r>
    <r>
      <rPr>
        <sz val="11"/>
        <color theme="1"/>
        <rFont val="WenQuanYi Zen Hei"/>
        <family val="2"/>
      </rPr>
      <t xml:space="preserve">段階）。</t>
    </r>
  </si>
  <si>
    <t xml:space="preserve">09-08</t>
  </si>
  <si>
    <r>
      <rPr>
        <sz val="10"/>
        <rFont val="Meiryo UI"/>
        <family val="0"/>
        <charset val="1"/>
      </rPr>
      <t xml:space="preserve">DX</t>
    </r>
    <r>
      <rPr>
        <sz val="10"/>
        <rFont val="WenQuanYi Zen Hei"/>
        <family val="2"/>
      </rPr>
      <t xml:space="preserve">成熟度が星</t>
    </r>
    <r>
      <rPr>
        <sz val="10"/>
        <rFont val="Meiryo UI"/>
        <family val="0"/>
        <charset val="1"/>
      </rPr>
      <t xml:space="preserve">4</t>
    </r>
    <r>
      <rPr>
        <sz val="10"/>
        <rFont val="WenQuanYi Zen Hei"/>
        <family val="2"/>
      </rPr>
      <t xml:space="preserve">つの部門はどこですか？</t>
    </r>
  </si>
  <si>
    <t xml:space="preserve">マーケティング部</t>
  </si>
  <si>
    <t xml:space="preserve">【画像（アイコン）】P4 星の画像の数</t>
  </si>
  <si>
    <r>
      <rPr>
        <sz val="11"/>
        <color theme="1"/>
        <rFont val="Calibri"/>
        <family val="2"/>
        <charset val="1"/>
      </rPr>
      <t xml:space="preserve">DX</t>
    </r>
    <r>
      <rPr>
        <sz val="11"/>
        <color theme="1"/>
        <rFont val="WenQuanYi Zen Hei"/>
        <family val="2"/>
      </rPr>
      <t xml:space="preserve">成熟度が星</t>
    </r>
    <r>
      <rPr>
        <sz val="11"/>
        <color theme="1"/>
        <rFont val="Calibri"/>
        <family val="2"/>
        <charset val="1"/>
      </rPr>
      <t xml:space="preserve">4</t>
    </r>
    <r>
      <rPr>
        <sz val="11"/>
        <color theme="1"/>
        <rFont val="WenQuanYi Zen Hei"/>
        <family val="2"/>
      </rPr>
      <t xml:space="preserve">つ（★★★★☆、</t>
    </r>
    <r>
      <rPr>
        <sz val="11"/>
        <color theme="1"/>
        <rFont val="Calibri"/>
        <family val="2"/>
        <charset val="1"/>
      </rPr>
      <t xml:space="preserve">4/5</t>
    </r>
    <r>
      <rPr>
        <sz val="11"/>
        <color theme="1"/>
        <rFont val="WenQuanYi Zen Hei"/>
        <family val="2"/>
      </rPr>
      <t xml:space="preserve">）の部門は「マーケティング部」です（スライド</t>
    </r>
    <r>
      <rPr>
        <sz val="11"/>
        <color theme="1"/>
        <rFont val="Calibri"/>
        <family val="2"/>
        <charset val="1"/>
      </rPr>
      <t xml:space="preserve">4</t>
    </r>
    <r>
      <rPr>
        <sz val="11"/>
        <color theme="1"/>
        <rFont val="WenQuanYi Zen Hei"/>
        <family val="2"/>
      </rPr>
      <t xml:space="preserve">、</t>
    </r>
    <r>
      <rPr>
        <sz val="11"/>
        <color theme="1"/>
        <rFont val="Calibri"/>
        <family val="2"/>
        <charset val="1"/>
      </rPr>
      <t xml:space="preserve">2026</t>
    </r>
    <r>
      <rPr>
        <sz val="11"/>
        <color theme="1"/>
        <rFont val="WenQuanYi Zen Hei"/>
        <family val="2"/>
      </rPr>
      <t xml:space="preserve">年</t>
    </r>
    <r>
      <rPr>
        <sz val="11"/>
        <color theme="1"/>
        <rFont val="Calibri"/>
        <family val="2"/>
        <charset val="1"/>
      </rPr>
      <t xml:space="preserve">9</t>
    </r>
    <r>
      <rPr>
        <sz val="11"/>
        <color theme="1"/>
        <rFont val="WenQuanYi Zen Hei"/>
        <family val="2"/>
      </rPr>
      <t xml:space="preserve">月 社内アセスメント）。</t>
    </r>
  </si>
  <si>
    <t xml:space="preserve">09-09</t>
  </si>
  <si>
    <t xml:space="preserve">新組織図で、兼務の関係にあるのはどの組織とどの組織ですか？</t>
  </si>
  <si>
    <t xml:space="preserve">データ戦略室とマーケティング部（データ戦略室の小野室長がマーケティング部長を兼ねる）</t>
  </si>
  <si>
    <t xml:space="preserve">【図解（線種）】P5 破線のコネクタ＋凡例</t>
  </si>
  <si>
    <t xml:space="preserve">データ戦略室とマーケティング部（小野室長が部長を兼務）</t>
  </si>
  <si>
    <t xml:space="preserve">新組織図（スライド5）で兼務の関係にあるのは、「データ戦略室」と「マーケティング部」です。
図ではこの2つの組織がオレンジの破線で結ばれています。凡例によると、破線は「兼務（室長が部長を兼ねる）」を表します。つまり、データ戦略室長の小野氏がマーケティング部長を兼ねています。
なお、この兼務はスライド本文に文章で書かれているわけではありません。図の線の位置から読み取ったものです。</t>
  </si>
  <si>
    <t xml:space="preserve">09-10</t>
  </si>
  <si>
    <t xml:space="preserve">データ戦略室はどの本部の下に置かれますか？本部長は誰ですか？</t>
  </si>
  <si>
    <t xml:space="preserve">技術本部（本部長 三浦）</t>
  </si>
  <si>
    <t xml:space="preserve">【図解（組織図）】P5 コネクタ</t>
  </si>
  <si>
    <t xml:space="preserve">技術本部、本部長 三浦</t>
  </si>
  <si>
    <t xml:space="preserve">データ戦略室は技術本部の下に置かれます。技術本部の本部長は三浦です。（なお、データ戦略室の室長は小野です。）</t>
  </si>
  <si>
    <t xml:space="preserve">09-11</t>
  </si>
  <si>
    <t xml:space="preserve">データ戦略室がA（説明責任）を持つ業務は何ですか？</t>
  </si>
  <si>
    <t xml:space="preserve">顧客データ基盤の運用</t>
  </si>
  <si>
    <t xml:space="preserve">【表（RACI）】P6 RACI表</t>
  </si>
  <si>
    <t xml:space="preserve">データ戦略室がA（説明責任）を持つ業務は「顧客データ基盤の運用」（データ区分）の1件です。
（スライド6のRACI表より。なお同じデータ区分の「KPIレポーティング」は、データ戦略室はR（実行責任）で、A（説明責任）は経営企画部となっています。キーメッセージ「データ関連業務の説明責任をデータ戦略室に集約する」とは食い違いがあり、資料上も要確認とされています。）</t>
  </si>
  <si>
    <t xml:space="preserve">09-12</t>
  </si>
  <si>
    <t xml:space="preserve">『予算策定』の実行責任（R）を持つのはどこですか？</t>
  </si>
  <si>
    <t xml:space="preserve">経営企画部（A/R）</t>
  </si>
  <si>
    <t xml:space="preserve">『予算策定』の実行責任（R）を持つのは**経営企画部**です。
スライド6の役割分担（RACI）表で、「予算策定」の行は経営企画部が「A/R」となっており、説明責任（A）と実行責任（R）の両方を経営企画部が担っています。なお、事業本部・技術本部はC（協議先）、データ戦略室はI（報告先）です。</t>
  </si>
  <si>
    <t xml:space="preserve">09-13</t>
  </si>
  <si>
    <t xml:space="preserve">『データ』区分に含まれる業務をすべて答えてください。</t>
  </si>
  <si>
    <t xml:space="preserve">顧客データ基盤の運用、KPIレポーティング</t>
  </si>
  <si>
    <t xml:space="preserve">『データ』区分に含まれる業務は次の2つです（スライド6：役割分担（RACI））。
1. 顧客データ基盤の運用
2. KPIレポーティング</t>
  </si>
  <si>
    <t xml:space="preserve">09-14</t>
  </si>
  <si>
    <t xml:space="preserve">新設されるデータ戦略室の発足時の人員は何名ですか？</t>
  </si>
  <si>
    <r>
      <rPr>
        <sz val="10"/>
        <rFont val="Meiryo UI"/>
        <family val="0"/>
        <charset val="1"/>
      </rPr>
      <t xml:space="preserve">18</t>
    </r>
    <r>
      <rPr>
        <sz val="10"/>
        <rFont val="WenQuanYi Zen Hei"/>
        <family val="2"/>
      </rPr>
      <t xml:space="preserve">名（旧マーケティング部</t>
    </r>
    <r>
      <rPr>
        <sz val="10"/>
        <rFont val="Meiryo UI"/>
        <family val="0"/>
        <charset val="1"/>
      </rPr>
      <t xml:space="preserve">10</t>
    </r>
    <r>
      <rPr>
        <sz val="10"/>
        <rFont val="WenQuanYi Zen Hei"/>
        <family val="2"/>
      </rPr>
      <t xml:space="preserve">名＋旧開発部</t>
    </r>
    <r>
      <rPr>
        <sz val="10"/>
        <rFont val="Meiryo UI"/>
        <family val="0"/>
        <charset val="1"/>
      </rPr>
      <t xml:space="preserve">8</t>
    </r>
    <r>
      <rPr>
        <sz val="10"/>
        <rFont val="WenQuanYi Zen Hei"/>
        <family val="2"/>
      </rPr>
      <t xml:space="preserve">名）</t>
    </r>
  </si>
  <si>
    <t xml:space="preserve">【計算】P7 矢印とラベル</t>
  </si>
  <si>
    <r>
      <rPr>
        <sz val="10"/>
        <rFont val="Meiryo UI"/>
        <family val="0"/>
        <charset val="1"/>
      </rPr>
      <t xml:space="preserve">18</t>
    </r>
    <r>
      <rPr>
        <sz val="10"/>
        <rFont val="WenQuanYi Zen Hei"/>
        <family val="2"/>
      </rPr>
      <t xml:space="preserve">名（旧マーケ</t>
    </r>
    <r>
      <rPr>
        <sz val="10"/>
        <rFont val="Meiryo UI"/>
        <family val="0"/>
        <charset val="1"/>
      </rPr>
      <t xml:space="preserve">10</t>
    </r>
    <r>
      <rPr>
        <sz val="10"/>
        <rFont val="WenQuanYi Zen Hei"/>
        <family val="2"/>
      </rPr>
      <t xml:space="preserve">＋旧開発</t>
    </r>
    <r>
      <rPr>
        <sz val="10"/>
        <rFont val="Meiryo UI"/>
        <family val="0"/>
        <charset val="1"/>
      </rPr>
      <t xml:space="preserve">8</t>
    </r>
    <r>
      <rPr>
        <sz val="10"/>
        <rFont val="WenQuanYi Zen Hei"/>
        <family val="2"/>
      </rPr>
      <t xml:space="preserve">）</t>
    </r>
  </si>
  <si>
    <t xml:space="preserve">データ戦略室の発足時（2027年4月1日付）の人員は18名です。
内訳は、旧マーケティング部から10名、旧開発部から8名の移動によるものです（スライド7「人員の移動計画」の数値からの集計）。室長は小野氏です。</t>
  </si>
  <si>
    <t xml:space="preserve">09-15</t>
  </si>
  <si>
    <t xml:space="preserve">旧営業部から新しいCS部へ移る人数は何名ですか？新CS部の人員は合計何名になりますか？</t>
  </si>
  <si>
    <r>
      <rPr>
        <sz val="10"/>
        <rFont val="Meiryo UI"/>
        <family val="0"/>
        <charset val="1"/>
      </rPr>
      <t xml:space="preserve">25</t>
    </r>
    <r>
      <rPr>
        <sz val="10"/>
        <rFont val="WenQuanYi Zen Hei"/>
        <family val="2"/>
      </rPr>
      <t xml:space="preserve">名。新</t>
    </r>
    <r>
      <rPr>
        <sz val="10"/>
        <rFont val="Meiryo UI"/>
        <family val="0"/>
        <charset val="1"/>
      </rPr>
      <t xml:space="preserve">CS</t>
    </r>
    <r>
      <rPr>
        <sz val="10"/>
        <rFont val="WenQuanYi Zen Hei"/>
        <family val="2"/>
      </rPr>
      <t xml:space="preserve">部は</t>
    </r>
    <r>
      <rPr>
        <sz val="10"/>
        <rFont val="Meiryo UI"/>
        <family val="0"/>
        <charset val="1"/>
      </rPr>
      <t xml:space="preserve">60</t>
    </r>
    <r>
      <rPr>
        <sz val="10"/>
        <rFont val="WenQuanYi Zen Hei"/>
        <family val="2"/>
      </rPr>
      <t xml:space="preserve">名（旧</t>
    </r>
    <r>
      <rPr>
        <sz val="10"/>
        <rFont val="Meiryo UI"/>
        <family val="0"/>
        <charset val="1"/>
      </rPr>
      <t xml:space="preserve">CS</t>
    </r>
    <r>
      <rPr>
        <sz val="10"/>
        <rFont val="WenQuanYi Zen Hei"/>
        <family val="2"/>
      </rPr>
      <t xml:space="preserve">部</t>
    </r>
    <r>
      <rPr>
        <sz val="10"/>
        <rFont val="Meiryo UI"/>
        <family val="0"/>
        <charset val="1"/>
      </rPr>
      <t xml:space="preserve">35</t>
    </r>
    <r>
      <rPr>
        <sz val="10"/>
        <rFont val="WenQuanYi Zen Hei"/>
        <family val="2"/>
      </rPr>
      <t xml:space="preserve">名＋</t>
    </r>
    <r>
      <rPr>
        <sz val="10"/>
        <rFont val="Meiryo UI"/>
        <family val="0"/>
        <charset val="1"/>
      </rPr>
      <t xml:space="preserve">25</t>
    </r>
    <r>
      <rPr>
        <sz val="10"/>
        <rFont val="WenQuanYi Zen Hei"/>
        <family val="2"/>
      </rPr>
      <t xml:space="preserve">名）</t>
    </r>
  </si>
  <si>
    <t xml:space="preserve">【図解（矢印）】P7 矢印＋注記</t>
  </si>
  <si>
    <r>
      <rPr>
        <sz val="10"/>
        <rFont val="Meiryo UI"/>
        <family val="0"/>
        <charset val="1"/>
      </rPr>
      <t xml:space="preserve">25</t>
    </r>
    <r>
      <rPr>
        <sz val="10"/>
        <rFont val="WenQuanYi Zen Hei"/>
        <family val="2"/>
      </rPr>
      <t xml:space="preserve">名、新</t>
    </r>
    <r>
      <rPr>
        <sz val="10"/>
        <rFont val="Meiryo UI"/>
        <family val="0"/>
        <charset val="1"/>
      </rPr>
      <t xml:space="preserve">CS</t>
    </r>
    <r>
      <rPr>
        <sz val="10"/>
        <rFont val="WenQuanYi Zen Hei"/>
        <family val="2"/>
      </rPr>
      <t xml:space="preserve">部は</t>
    </r>
    <r>
      <rPr>
        <sz val="10"/>
        <rFont val="Meiryo UI"/>
        <family val="0"/>
        <charset val="1"/>
      </rPr>
      <t xml:space="preserve">60</t>
    </r>
    <r>
      <rPr>
        <sz val="10"/>
        <rFont val="WenQuanYi Zen Hei"/>
        <family val="2"/>
      </rPr>
      <t xml:space="preserve">名</t>
    </r>
  </si>
  <si>
    <t xml:space="preserve">旧営業部から新CS部へ移る人数は25名です。新CS部の人員は、旧営業部からの25名と旧CS部の35名（全員）を合わせて、合計60名になります（いずれも2027年4月1日付の移動計画、スライド7より）。</t>
  </si>
  <si>
    <t xml:space="preserve">09-16</t>
  </si>
  <si>
    <t xml:space="preserve">定員12名の会議室はどれですか？</t>
  </si>
  <si>
    <t xml:space="preserve">会議室A</t>
  </si>
  <si>
    <t xml:space="preserve">【画像（間取り図）】P8 平面図画像</t>
  </si>
  <si>
    <t xml:space="preserve">定員12名の会議室は「会議室A」です（スライド8：新オフィスのレイアウト（3階）、上段左端）。</t>
  </si>
  <si>
    <t xml:space="preserve">09-17</t>
  </si>
  <si>
    <t xml:space="preserve">フリーアドレス席は何席ありますか？データ戦略室の隣には何がありますか？</t>
  </si>
  <si>
    <r>
      <rPr>
        <sz val="10"/>
        <rFont val="Meiryo UI"/>
        <family val="0"/>
        <charset val="1"/>
      </rPr>
      <t xml:space="preserve">80</t>
    </r>
    <r>
      <rPr>
        <sz val="10"/>
        <rFont val="WenQuanYi Zen Hei"/>
        <family val="2"/>
      </rPr>
      <t xml:space="preserve">席。受付（と会議室</t>
    </r>
    <r>
      <rPr>
        <sz val="10"/>
        <rFont val="Meiryo UI"/>
        <family val="0"/>
        <charset val="1"/>
      </rPr>
      <t xml:space="preserve">B</t>
    </r>
    <r>
      <rPr>
        <sz val="10"/>
        <rFont val="WenQuanYi Zen Hei"/>
        <family val="2"/>
      </rPr>
      <t xml:space="preserve">）</t>
    </r>
  </si>
  <si>
    <r>
      <rPr>
        <sz val="10"/>
        <rFont val="Meiryo UI"/>
        <family val="0"/>
        <charset val="1"/>
      </rPr>
      <t xml:space="preserve">80</t>
    </r>
    <r>
      <rPr>
        <sz val="10"/>
        <rFont val="WenQuanYi Zen Hei"/>
        <family val="2"/>
      </rPr>
      <t xml:space="preserve">席、受付（左隣は会議室</t>
    </r>
    <r>
      <rPr>
        <sz val="10"/>
        <rFont val="Meiryo UI"/>
        <family val="0"/>
        <charset val="1"/>
      </rPr>
      <t xml:space="preserve">B</t>
    </r>
    <r>
      <rPr>
        <sz val="10"/>
        <rFont val="WenQuanYi Zen Hei"/>
        <family val="2"/>
      </rPr>
      <t xml:space="preserve">）</t>
    </r>
  </si>
  <si>
    <t xml:space="preserve">フリーアドレス席は80席です（新オフィス3階。なお平面図中の席の四角は30個で模式的に表示されています）。
データ戦略室の隣には受付があります（スライド8のポイント「データ戦略室は受付の隣に配置」）。なお、平面図の上段は左から「会議室A／会議室B／データ戦略室／受付」の順に並んでいるため、反対側（左隣）は会議室B（定員6名）です。</t>
  </si>
  <si>
    <t xml:space="preserve">09-18</t>
  </si>
  <si>
    <t xml:space="preserve">現在『実施中』の移行タスクをすべて答えてください。</t>
  </si>
  <si>
    <t xml:space="preserve">人事システムの設定変更、座席レイアウトの決定</t>
  </si>
  <si>
    <t xml:space="preserve">【位置（カンバン）】P9 カードの列位置（XMLの順序は列と無関係）</t>
  </si>
  <si>
    <t xml:space="preserve">現在『実施中』の移行タスクは次の2つです（スライド9「移行タスクの進捗」より）。
1. 人事システムの設定変更
2. 座席レイアウトの決定</t>
  </si>
  <si>
    <t xml:space="preserve">09-19</t>
  </si>
  <si>
    <t xml:space="preserve">労働組合への説明は済んでいますか？</t>
  </si>
  <si>
    <r>
      <rPr>
        <sz val="10"/>
        <rFont val="Meiryo UI"/>
        <family val="0"/>
        <charset val="1"/>
      </rPr>
      <t xml:space="preserve">11</t>
    </r>
    <r>
      <rPr>
        <sz val="10"/>
        <rFont val="WenQuanYi Zen Hei"/>
        <family val="2"/>
      </rPr>
      <t xml:space="preserve">月</t>
    </r>
    <r>
      <rPr>
        <sz val="10"/>
        <rFont val="Meiryo UI"/>
        <family val="0"/>
        <charset val="1"/>
      </rPr>
      <t xml:space="preserve">25</t>
    </r>
    <r>
      <rPr>
        <sz val="10"/>
        <rFont val="WenQuanYi Zen Hei"/>
        <family val="2"/>
      </rPr>
      <t xml:space="preserve">日に実施済み（大きな異論なし）</t>
    </r>
  </si>
  <si>
    <r>
      <rPr>
        <sz val="10"/>
        <rFont val="Meiryo UI"/>
        <family val="0"/>
        <charset val="1"/>
      </rPr>
      <t xml:space="preserve">11</t>
    </r>
    <r>
      <rPr>
        <sz val="10"/>
        <rFont val="WenQuanYi Zen Hei"/>
        <family val="2"/>
      </rPr>
      <t xml:space="preserve">月</t>
    </r>
    <r>
      <rPr>
        <sz val="10"/>
        <rFont val="Meiryo UI"/>
        <family val="0"/>
        <charset val="1"/>
      </rPr>
      <t xml:space="preserve">25</t>
    </r>
    <r>
      <rPr>
        <sz val="10"/>
        <rFont val="WenQuanYi Zen Hei"/>
        <family val="2"/>
      </rPr>
      <t xml:space="preserve">日に実施済み、大きな異論なし</t>
    </r>
  </si>
  <si>
    <t xml:space="preserve">はい、資料上は済んでいることになっています。スライド10の発表者ノート（取扱注意）に「労働組合への説明は11月25日に実施済みで、大きな異論は出ていない」と記載されています。
ただし、以下の点にご注意ください。
- この情報はスライド本文ではなく発表者ノートにのみ記載された、労使関係に関する内部情報です。共有範囲に注意が必要とされています。
- 資料の版数は「Ver.3.2（2026/11/02 改訂）」ですが、ノートには11月25日に実施済みの事項が書かれており、ノートと本文の更新時点が異なる可能性があります。最新の状況は担当部署（経営企画部）にご確認ください。</t>
  </si>
  <si>
    <t xml:space="preserve">09-20</t>
  </si>
  <si>
    <t xml:space="preserve">対象：10_技術開発ロードマップ.pptx（10枚）</t>
  </si>
  <si>
    <t xml:space="preserve">第2世代のサイクル寿命は何回ですか？</t>
  </si>
  <si>
    <r>
      <rPr>
        <sz val="10"/>
        <rFont val="Meiryo UI"/>
        <family val="0"/>
        <charset val="1"/>
      </rPr>
      <t xml:space="preserve">2,000</t>
    </r>
    <r>
      <rPr>
        <sz val="10"/>
        <rFont val="WenQuanYi Zen Hei"/>
        <family val="2"/>
      </rPr>
      <t xml:space="preserve">回</t>
    </r>
  </si>
  <si>
    <t xml:space="preserve">【対数グラフ】P2 縦軸が対数目盛の折れ線（数値ラベルなし）</t>
  </si>
  <si>
    <t xml:space="preserve">第2世代のサイクル寿命は2,000回です（スライド2「世代別の充放電サイクル寿命」より）。なお、ここでのサイクル寿命は「容量が初期の80%に下がるまでに繰り返せる充放電の回数」と定義されています。</t>
  </si>
  <si>
    <t xml:space="preserve">10-01</t>
  </si>
  <si>
    <t xml:space="preserve">最終目標のサイクル寿命は、第1世代の何倍ですか？</t>
  </si>
  <si>
    <r>
      <rPr>
        <sz val="10"/>
        <rFont val="Meiryo UI"/>
        <family val="0"/>
        <charset val="1"/>
      </rPr>
      <t xml:space="preserve">100</t>
    </r>
    <r>
      <rPr>
        <sz val="10"/>
        <rFont val="WenQuanYi Zen Hei"/>
        <family val="2"/>
      </rPr>
      <t xml:space="preserve">倍（</t>
    </r>
    <r>
      <rPr>
        <sz val="10"/>
        <rFont val="Meiryo UI"/>
        <family val="0"/>
        <charset val="1"/>
      </rPr>
      <t xml:space="preserve">50,000÷500</t>
    </r>
    <r>
      <rPr>
        <sz val="10"/>
        <rFont val="WenQuanYi Zen Hei"/>
        <family val="2"/>
      </rPr>
      <t xml:space="preserve">）</t>
    </r>
  </si>
  <si>
    <t xml:space="preserve">【計算】P2 対数グラフ</t>
  </si>
  <si>
    <r>
      <rPr>
        <sz val="10"/>
        <rFont val="Meiryo UI"/>
        <family val="0"/>
        <charset val="1"/>
      </rPr>
      <t xml:space="preserve">100</t>
    </r>
    <r>
      <rPr>
        <sz val="10"/>
        <rFont val="WenQuanYi Zen Hei"/>
        <family val="2"/>
      </rPr>
      <t xml:space="preserve">倍</t>
    </r>
  </si>
  <si>
    <r>
      <rPr>
        <sz val="11"/>
        <color theme="1"/>
        <rFont val="Calibri"/>
        <family val="2"/>
        <charset val="1"/>
      </rPr>
      <t xml:space="preserve">100</t>
    </r>
    <r>
      <rPr>
        <sz val="11"/>
        <color theme="1"/>
        <rFont val="WenQuanYi Zen Hei"/>
        <family val="2"/>
      </rPr>
      <t xml:space="preserve">倍です。最終目標のサイクル寿命は</t>
    </r>
    <r>
      <rPr>
        <sz val="11"/>
        <color theme="1"/>
        <rFont val="Calibri"/>
        <family val="2"/>
        <charset val="1"/>
      </rPr>
      <t xml:space="preserve">50,000</t>
    </r>
    <r>
      <rPr>
        <sz val="11"/>
        <color theme="1"/>
        <rFont val="WenQuanYi Zen Hei"/>
        <family val="2"/>
      </rPr>
      <t xml:space="preserve">回、第</t>
    </r>
    <r>
      <rPr>
        <sz val="11"/>
        <color theme="1"/>
        <rFont val="Calibri"/>
        <family val="2"/>
        <charset val="1"/>
      </rPr>
      <t xml:space="preserve">1</t>
    </r>
    <r>
      <rPr>
        <sz val="11"/>
        <color theme="1"/>
        <rFont val="WenQuanYi Zen Hei"/>
        <family val="2"/>
      </rPr>
      <t xml:space="preserve">世代は</t>
    </r>
    <r>
      <rPr>
        <sz val="11"/>
        <color theme="1"/>
        <rFont val="Calibri"/>
        <family val="2"/>
        <charset val="1"/>
      </rPr>
      <t xml:space="preserve">500</t>
    </r>
    <r>
      <rPr>
        <sz val="11"/>
        <color theme="1"/>
        <rFont val="WenQuanYi Zen Hei"/>
        <family val="2"/>
      </rPr>
      <t xml:space="preserve">回なので、</t>
    </r>
    <r>
      <rPr>
        <sz val="11"/>
        <color theme="1"/>
        <rFont val="Calibri"/>
        <family val="2"/>
        <charset val="1"/>
      </rPr>
      <t xml:space="preserve">50,000 ÷ 500 </t>
    </r>
    <r>
      <rPr>
        <sz val="11"/>
        <color theme="1"/>
        <rFont val="WenQuanYi Zen Hei"/>
        <family val="2"/>
      </rPr>
      <t xml:space="preserve">＝ </t>
    </r>
    <r>
      <rPr>
        <sz val="11"/>
        <color theme="1"/>
        <rFont val="Calibri"/>
        <family val="2"/>
        <charset val="1"/>
      </rPr>
      <t xml:space="preserve">100</t>
    </r>
    <r>
      <rPr>
        <sz val="11"/>
        <color theme="1"/>
        <rFont val="WenQuanYi Zen Hei"/>
        <family val="2"/>
      </rPr>
      <t xml:space="preserve">倍になります（スライド</t>
    </r>
    <r>
      <rPr>
        <sz val="11"/>
        <color theme="1"/>
        <rFont val="Calibri"/>
        <family val="2"/>
        <charset val="1"/>
      </rPr>
      <t xml:space="preserve">2</t>
    </r>
    <r>
      <rPr>
        <sz val="11"/>
        <color theme="1"/>
        <rFont val="WenQuanYi Zen Hei"/>
        <family val="2"/>
      </rPr>
      <t xml:space="preserve">のグラフより）。</t>
    </r>
  </si>
  <si>
    <t xml:space="preserve">10-02</t>
  </si>
  <si>
    <t xml:space="preserve">エネルギー密度が2番目に高いのはどこですか？値も答えてください。</t>
  </si>
  <si>
    <r>
      <rPr>
        <sz val="10"/>
        <rFont val="Meiryo UI"/>
        <family val="0"/>
        <charset val="1"/>
      </rPr>
      <t xml:space="preserve">A</t>
    </r>
    <r>
      <rPr>
        <sz val="10"/>
        <rFont val="WenQuanYi Zen Hei"/>
        <family val="2"/>
      </rPr>
      <t xml:space="preserve">社、</t>
    </r>
    <r>
      <rPr>
        <sz val="10"/>
        <rFont val="Meiryo UI"/>
        <family val="0"/>
        <charset val="1"/>
      </rPr>
      <t xml:space="preserve">350Wh/kg</t>
    </r>
  </si>
  <si>
    <t xml:space="preserve">【軸の逆順】P3 横棒グラフ（項目軸を逆順に設定）</t>
  </si>
  <si>
    <t xml:space="preserve">エネルギー密度（重量エネルギー密度）が2番目に高いのは **A社** で、値は **350 Wh/kg** です。
（1位は当社 第3世代（開発中）の420 Wh/kg。出典：スライド3、競合の値は各社の公開資料による2026年9月時点の値）</t>
  </si>
  <si>
    <t xml:space="preserve">10-03</t>
  </si>
  <si>
    <t xml:space="preserve">当社の第3世代とC社のエネルギー密度の差は何Wh/kgですか？</t>
  </si>
  <si>
    <r>
      <rPr>
        <sz val="10"/>
        <rFont val="Meiryo UI"/>
        <family val="0"/>
        <charset val="1"/>
      </rPr>
      <t xml:space="preserve">140Wh/kg</t>
    </r>
    <r>
      <rPr>
        <sz val="10"/>
        <rFont val="WenQuanYi Zen Hei"/>
        <family val="2"/>
      </rPr>
      <t xml:space="preserve">（</t>
    </r>
    <r>
      <rPr>
        <sz val="10"/>
        <rFont val="Meiryo UI"/>
        <family val="0"/>
        <charset val="1"/>
      </rPr>
      <t xml:space="preserve">420−280</t>
    </r>
    <r>
      <rPr>
        <sz val="10"/>
        <rFont val="WenQuanYi Zen Hei"/>
        <family val="2"/>
      </rPr>
      <t xml:space="preserve">）</t>
    </r>
  </si>
  <si>
    <t xml:space="preserve">【計算】P3 横棒グラフ</t>
  </si>
  <si>
    <t xml:space="preserve">140Wh/kg</t>
  </si>
  <si>
    <t xml:space="preserve">当社の第3世代（420 Wh/kg）とC社（280 Wh/kg）のエネルギー密度の差は、140 Wh/kgです。</t>
  </si>
  <si>
    <t xml:space="preserve">10-04</t>
  </si>
  <si>
    <t xml:space="preserve">正極材の化学式で、ニッケルの組成比はいくつですか？</t>
  </si>
  <si>
    <r>
      <rPr>
        <sz val="10"/>
        <rFont val="Meiryo UI"/>
        <family val="0"/>
        <charset val="1"/>
      </rPr>
      <t xml:space="preserve">0.8</t>
    </r>
    <r>
      <rPr>
        <sz val="10"/>
        <rFont val="WenQuanYi Zen Hei"/>
        <family val="2"/>
      </rPr>
      <t xml:space="preserve">（</t>
    </r>
    <r>
      <rPr>
        <sz val="10"/>
        <rFont val="Meiryo UI"/>
        <family val="0"/>
        <charset val="1"/>
      </rPr>
      <t xml:space="preserve">LiNi₀.₈Mn₀.₁Co₀.₁O₂</t>
    </r>
    <r>
      <rPr>
        <sz val="10"/>
        <rFont val="WenQuanYi Zen Hei"/>
        <family val="2"/>
      </rPr>
      <t xml:space="preserve">）</t>
    </r>
  </si>
  <si>
    <t xml:space="preserve">【下付き文字（化学式）】P4 下付き文字</t>
  </si>
  <si>
    <t xml:space="preserve">0.8</t>
  </si>
  <si>
    <t xml:space="preserve">正極材の化学式は LiNi₀.₈Mn₀.₁Co₀.₁O₂（NMC811）なので、ニッケルの組成比は **0.8** です（ニッケル：マンガン：コバルト ＝ 8：1：1）。</t>
  </si>
  <si>
    <t xml:space="preserve">10-05</t>
  </si>
  <si>
    <r>
      <rPr>
        <sz val="10"/>
        <rFont val="Meiryo UI"/>
        <family val="0"/>
        <charset val="1"/>
      </rPr>
      <t xml:space="preserve">500</t>
    </r>
    <r>
      <rPr>
        <sz val="10"/>
        <rFont val="WenQuanYi Zen Hei"/>
        <family val="2"/>
      </rPr>
      <t xml:space="preserve">サイクル後の容量維持率は何％ですか？</t>
    </r>
  </si>
  <si>
    <r>
      <rPr>
        <sz val="10"/>
        <rFont val="Meiryo UI"/>
        <family val="0"/>
        <charset val="1"/>
      </rPr>
      <t xml:space="preserve">92.4%</t>
    </r>
    <r>
      <rPr>
        <sz val="10"/>
        <rFont val="WenQuanYi Zen Hei"/>
        <family val="2"/>
      </rPr>
      <t xml:space="preserve">（</t>
    </r>
    <r>
      <rPr>
        <sz val="10"/>
        <rFont val="Meiryo UI"/>
        <family val="0"/>
        <charset val="1"/>
      </rPr>
      <t xml:space="preserve">C₅₀₀÷C₁×100</t>
    </r>
    <r>
      <rPr>
        <sz val="10"/>
        <rFont val="WenQuanYi Zen Hei"/>
        <family val="2"/>
      </rPr>
      <t xml:space="preserve">）</t>
    </r>
  </si>
  <si>
    <t xml:space="preserve">【下付き文字（数式）】P4 下付き文字を含む式</t>
  </si>
  <si>
    <t xml:space="preserve">92.4%</t>
  </si>
  <si>
    <r>
      <rPr>
        <sz val="11"/>
        <color theme="1"/>
        <rFont val="Calibri"/>
        <family val="2"/>
        <charset val="1"/>
      </rPr>
      <t xml:space="preserve">500</t>
    </r>
    <r>
      <rPr>
        <sz val="11"/>
        <color theme="1"/>
        <rFont val="WenQuanYi Zen Hei"/>
        <family val="2"/>
      </rPr>
      <t xml:space="preserve">サイクル後の容量維持率は</t>
    </r>
    <r>
      <rPr>
        <sz val="11"/>
        <color theme="1"/>
        <rFont val="Calibri"/>
        <family val="2"/>
        <charset val="1"/>
      </rPr>
      <t xml:space="preserve">92.4%</t>
    </r>
    <r>
      <rPr>
        <sz val="11"/>
        <color theme="1"/>
        <rFont val="WenQuanYi Zen Hei"/>
        <family val="2"/>
      </rPr>
      <t xml:space="preserve">です（スライド</t>
    </r>
    <r>
      <rPr>
        <sz val="11"/>
        <color theme="1"/>
        <rFont val="Calibri"/>
        <family val="2"/>
        <charset val="1"/>
      </rPr>
      <t xml:space="preserve">4</t>
    </r>
    <r>
      <rPr>
        <sz val="11"/>
        <color theme="1"/>
        <rFont val="WenQuanYi Zen Hei"/>
        <family val="2"/>
      </rPr>
      <t xml:space="preserve">：容量維持率 ＝ </t>
    </r>
    <r>
      <rPr>
        <sz val="11"/>
        <color theme="1"/>
        <rFont val="Calibri"/>
        <family val="2"/>
        <charset val="1"/>
      </rPr>
      <t xml:space="preserve">C₅₀₀ ÷ C₁ × 100 </t>
    </r>
    <r>
      <rPr>
        <sz val="11"/>
        <color theme="1"/>
        <rFont val="WenQuanYi Zen Hei"/>
        <family val="2"/>
      </rPr>
      <t xml:space="preserve">＝ </t>
    </r>
    <r>
      <rPr>
        <sz val="11"/>
        <color theme="1"/>
        <rFont val="Calibri"/>
        <family val="2"/>
        <charset val="1"/>
      </rPr>
      <t xml:space="preserve">92.4%</t>
    </r>
    <r>
      <rPr>
        <sz val="11"/>
        <color theme="1"/>
        <rFont val="WenQuanYi Zen Hei"/>
        <family val="2"/>
      </rPr>
      <t xml:space="preserve">。</t>
    </r>
    <r>
      <rPr>
        <sz val="11"/>
        <color theme="1"/>
        <rFont val="Calibri"/>
        <family val="2"/>
        <charset val="1"/>
      </rPr>
      <t xml:space="preserve">500</t>
    </r>
    <r>
      <rPr>
        <sz val="11"/>
        <color theme="1"/>
        <rFont val="WenQuanYi Zen Hei"/>
        <family val="2"/>
      </rPr>
      <t xml:space="preserve">サイクル目の放電容量が</t>
    </r>
    <r>
      <rPr>
        <sz val="11"/>
        <color theme="1"/>
        <rFont val="Calibri"/>
        <family val="2"/>
        <charset val="1"/>
      </rPr>
      <t xml:space="preserve">1</t>
    </r>
    <r>
      <rPr>
        <sz val="11"/>
        <color theme="1"/>
        <rFont val="WenQuanYi Zen Hei"/>
        <family val="2"/>
      </rPr>
      <t xml:space="preserve">サイクル目の</t>
    </r>
    <r>
      <rPr>
        <sz val="11"/>
        <color theme="1"/>
        <rFont val="Calibri"/>
        <family val="2"/>
        <charset val="1"/>
      </rPr>
      <t xml:space="preserve">92.4%</t>
    </r>
    <r>
      <rPr>
        <sz val="11"/>
        <color theme="1"/>
        <rFont val="WenQuanYi Zen Hei"/>
        <family val="2"/>
      </rPr>
      <t xml:space="preserve">）。</t>
    </r>
  </si>
  <si>
    <t xml:space="preserve">10-06</t>
  </si>
  <si>
    <r>
      <rPr>
        <sz val="10"/>
        <rFont val="Meiryo UI"/>
        <family val="0"/>
        <charset val="1"/>
      </rPr>
      <t xml:space="preserve">TRL</t>
    </r>
    <r>
      <rPr>
        <sz val="10"/>
        <rFont val="WenQuanYi Zen Hei"/>
        <family val="2"/>
      </rPr>
      <t xml:space="preserve">が最も低い要素技術と、そのレベルを答えてください。</t>
    </r>
  </si>
  <si>
    <t xml:space="preserve">シリコン系負極、TRL4</t>
  </si>
  <si>
    <t xml:space="preserve">【図形の長さ】P5 バーの長さと目盛（数値の記載なし）</t>
  </si>
  <si>
    <r>
      <rPr>
        <sz val="11"/>
        <color theme="1"/>
        <rFont val="Calibri"/>
        <family val="2"/>
        <charset val="1"/>
      </rPr>
      <t xml:space="preserve">TRL</t>
    </r>
    <r>
      <rPr>
        <sz val="11"/>
        <color theme="1"/>
        <rFont val="WenQuanYi Zen Hei"/>
        <family val="2"/>
      </rPr>
      <t xml:space="preserve">が最も低い要素技術は「シリコン系負極」で、レベルは「</t>
    </r>
    <r>
      <rPr>
        <sz val="11"/>
        <color theme="1"/>
        <rFont val="Calibri"/>
        <family val="2"/>
        <charset val="1"/>
      </rPr>
      <t xml:space="preserve">TRL4</t>
    </r>
    <r>
      <rPr>
        <sz val="11"/>
        <color theme="1"/>
        <rFont val="WenQuanYi Zen Hei"/>
        <family val="2"/>
      </rPr>
      <t xml:space="preserve">」です（スライド</t>
    </r>
    <r>
      <rPr>
        <sz val="11"/>
        <color theme="1"/>
        <rFont val="Calibri"/>
        <family val="2"/>
        <charset val="1"/>
      </rPr>
      <t xml:space="preserve">5</t>
    </r>
    <r>
      <rPr>
        <sz val="11"/>
        <color theme="1"/>
        <rFont val="WenQuanYi Zen Hei"/>
        <family val="2"/>
      </rPr>
      <t xml:space="preserve">）。
※なお、資料の注記によると、</t>
    </r>
    <r>
      <rPr>
        <sz val="11"/>
        <color theme="1"/>
        <rFont val="Calibri"/>
        <family val="2"/>
        <charset val="1"/>
      </rPr>
      <t xml:space="preserve">TRL</t>
    </r>
    <r>
      <rPr>
        <sz val="11"/>
        <color theme="1"/>
        <rFont val="WenQuanYi Zen Hei"/>
        <family val="2"/>
      </rPr>
      <t xml:space="preserve">の値は図の棒の終点の位置から読み取ったもので、スライドに数値の記載はありません。</t>
    </r>
  </si>
  <si>
    <t xml:space="preserve">10-07</t>
  </si>
  <si>
    <r>
      <rPr>
        <sz val="10"/>
        <rFont val="Meiryo UI"/>
        <family val="0"/>
        <charset val="1"/>
      </rPr>
      <t xml:space="preserve">TRL7</t>
    </r>
    <r>
      <rPr>
        <sz val="10"/>
        <rFont val="WenQuanYi Zen Hei"/>
        <family val="2"/>
      </rPr>
      <t xml:space="preserve">に達している技術はどれですか？</t>
    </r>
  </si>
  <si>
    <t xml:space="preserve">高ニッケル正極</t>
  </si>
  <si>
    <t xml:space="preserve">【図形の長さ】P5 バーの長さ</t>
  </si>
  <si>
    <r>
      <rPr>
        <sz val="11"/>
        <color theme="1"/>
        <rFont val="Calibri"/>
        <family val="2"/>
        <charset val="1"/>
      </rPr>
      <t xml:space="preserve">TRL7</t>
    </r>
    <r>
      <rPr>
        <sz val="11"/>
        <color theme="1"/>
        <rFont val="WenQuanYi Zen Hei"/>
        <family val="2"/>
      </rPr>
      <t xml:space="preserve">に達している技術は「高ニッケル正極」です（スライド</t>
    </r>
    <r>
      <rPr>
        <sz val="11"/>
        <color theme="1"/>
        <rFont val="Calibri"/>
        <family val="2"/>
        <charset val="1"/>
      </rPr>
      <t xml:space="preserve">5</t>
    </r>
    <r>
      <rPr>
        <sz val="11"/>
        <color theme="1"/>
        <rFont val="WenQuanYi Zen Hei"/>
        <family val="2"/>
      </rPr>
      <t xml:space="preserve">）。
なお、</t>
    </r>
    <r>
      <rPr>
        <sz val="11"/>
        <color theme="1"/>
        <rFont val="Calibri"/>
        <family val="2"/>
        <charset val="1"/>
      </rPr>
      <t xml:space="preserve">TRL</t>
    </r>
    <r>
      <rPr>
        <sz val="11"/>
        <color theme="1"/>
        <rFont val="WenQuanYi Zen Hei"/>
        <family val="2"/>
      </rPr>
      <t xml:space="preserve">の値は図の棒の終点の位置から読み取ったもので、スライドに数値は書かれていません。
ほかの要素技術は、急速充電制御が</t>
    </r>
    <r>
      <rPr>
        <sz val="11"/>
        <color theme="1"/>
        <rFont val="Calibri"/>
        <family val="2"/>
        <charset val="1"/>
      </rPr>
      <t xml:space="preserve">TRL6</t>
    </r>
    <r>
      <rPr>
        <sz val="11"/>
        <color theme="1"/>
        <rFont val="WenQuanYi Zen Hei"/>
        <family val="2"/>
      </rPr>
      <t xml:space="preserve">、固体電解質が</t>
    </r>
    <r>
      <rPr>
        <sz val="11"/>
        <color theme="1"/>
        <rFont val="Calibri"/>
        <family val="2"/>
        <charset val="1"/>
      </rPr>
      <t xml:space="preserve">TRL5</t>
    </r>
    <r>
      <rPr>
        <sz val="11"/>
        <color theme="1"/>
        <rFont val="WenQuanYi Zen Hei"/>
        <family val="2"/>
      </rPr>
      <t xml:space="preserve">、シリコン系負極が</t>
    </r>
    <r>
      <rPr>
        <sz val="11"/>
        <color theme="1"/>
        <rFont val="Calibri"/>
        <family val="2"/>
        <charset val="1"/>
      </rPr>
      <t xml:space="preserve">TRL4</t>
    </r>
    <r>
      <rPr>
        <sz val="11"/>
        <color theme="1"/>
        <rFont val="WenQuanYi Zen Hei"/>
        <family val="2"/>
      </rPr>
      <t xml:space="preserve">です。</t>
    </r>
  </si>
  <si>
    <t xml:space="preserve">10-08</t>
  </si>
  <si>
    <t xml:space="preserve">実用化判断の基準を満たしている技術をすべて答えてください。</t>
  </si>
  <si>
    <t xml:space="preserve">高ニッケル正極（TRL7）、急速充電制御（TRL6）</t>
  </si>
  <si>
    <t xml:space="preserve">【図形の長さ】P5 基準線（TRL6）とバー</t>
  </si>
  <si>
    <t xml:space="preserve">実用化判断の基準（TRL6以上）を満たしている技術は、次の2つです。
- 高ニッケル正極（TRL7）
- 急速充電制御（TRL6）
（スライド5「要素技術の成熟度（TRL）」より。固体電解質（TRL5）とシリコン系負極（TRL4）は基準未達です。なお、TRLの値は図の棒の終点の位置から読み取ったもので、スライドに数値の記載はありません。）</t>
  </si>
  <si>
    <t xml:space="preserve">10-09</t>
  </si>
  <si>
    <t xml:space="preserve">第3世代セルの量産開始の前提となっているマイルストーンは何ですか？それはいつですか？</t>
  </si>
  <si>
    <t xml:space="preserve">固体電解質の量産技術の確立（2029年）</t>
  </si>
  <si>
    <t xml:space="preserve">【図解（依存関係）】P6 赤矢印</t>
  </si>
  <si>
    <t xml:space="preserve">第3世代セルの量産開始（2030年）の前提となっているマイルストーンは、材料レーンの「固体電解質の量産技術の確立」で、時期は2029年です（スライド6の赤矢印の前提関係による。年は図の位置から読み取ったもので、月の記載はありません）。</t>
  </si>
  <si>
    <t xml:space="preserve">10-10</t>
  </si>
  <si>
    <t xml:space="preserve">急速充電制御の実証は何年から何年まで行われますか？</t>
  </si>
  <si>
    <r>
      <rPr>
        <sz val="10"/>
        <rFont val="Meiryo UI"/>
        <family val="0"/>
        <charset val="1"/>
      </rPr>
      <t xml:space="preserve">2028</t>
    </r>
    <r>
      <rPr>
        <sz val="10"/>
        <rFont val="WenQuanYi Zen Hei"/>
        <family val="2"/>
      </rPr>
      <t xml:space="preserve">年〜</t>
    </r>
    <r>
      <rPr>
        <sz val="10"/>
        <rFont val="Meiryo UI"/>
        <family val="0"/>
        <charset val="1"/>
      </rPr>
      <t xml:space="preserve">2029</t>
    </r>
    <r>
      <rPr>
        <sz val="10"/>
        <rFont val="WenQuanYi Zen Hei"/>
        <family val="2"/>
      </rPr>
      <t xml:space="preserve">年</t>
    </r>
  </si>
  <si>
    <t xml:space="preserve">【位置（タイムライン）】P6 バーの位置</t>
  </si>
  <si>
    <t xml:space="preserve">急速充電制御の実証は、2028年から2029年まで行われます（スライド6「開発ロードマップ」の制御レーン）。なお、この期間は図中の位置から年単位で読み取ったもので、月の記載はありません。実証の後、2030年に製品搭載が予定されています。</t>
  </si>
  <si>
    <t xml:space="preserve">10-11</t>
  </si>
  <si>
    <t xml:space="preserve">交渉中（未契約）の提携先と、その内容を答えてください。</t>
  </si>
  <si>
    <t xml:space="preserve">ミライ自動車、技術ライセンス（2027年度の契約を目指す）</t>
  </si>
  <si>
    <t xml:space="preserve">【図解（線種）】P7 破線＋凡例</t>
  </si>
  <si>
    <t xml:space="preserve">交渉中（未契約）の提携先は「ミライ自動車」です。
- 内容：技術ライセンス（当社 → ミライ自動車への技術供与。量産後に自動車メーカーへ技術供与する位置づけ）
- 契約状況：交渉中（提携関係図では破線で表示）。2027年度の契約を目指している。
（出典：スライド7「共同研究・提携体制」）</t>
  </si>
  <si>
    <t xml:space="preserve">10-12</t>
  </si>
  <si>
    <t xml:space="preserve">光陽マテリアルと当社の関係は何で、どちらがどちらに提供しますか？</t>
  </si>
  <si>
    <t xml:space="preserve">材料供給。光陽マテリアル→当社</t>
  </si>
  <si>
    <t xml:space="preserve">【図解（矢印の向き）】P7 矢印の向き＋凡例</t>
  </si>
  <si>
    <t xml:space="preserve">材料供給、光陽マテリアル→当社</t>
  </si>
  <si>
    <t xml:space="preserve">光陽マテリアルと当社の関係は「材料供給」です（契約済み）。
提供する側は光陽マテリアルで、当社（技術開発本部）が受ける側です。つまり、光陽マテリアルが当社に材料を供給します（光陽マテリアル → 当社）。</t>
  </si>
  <si>
    <t xml:space="preserve">10-13</t>
  </si>
  <si>
    <t xml:space="preserve">断面図で最も上に描かれている層は何ですか？</t>
  </si>
  <si>
    <t xml:space="preserve">正極集電体（アルミ箔）</t>
  </si>
  <si>
    <t xml:space="preserve">【SVG画像＋表】P8 SVG画像の番号①と表の対応</t>
  </si>
  <si>
    <t xml:space="preserve">スライド8の断面図で最も上に描かれている層は、①正極集電体（アルミ箔）です（厚み15μm、図では灰色の薄い層）。</t>
  </si>
  <si>
    <t xml:space="preserve">10-14</t>
  </si>
  <si>
    <t xml:space="preserve">固体電解質層の上下に接している層を答えてください。</t>
  </si>
  <si>
    <t xml:space="preserve">上：正極、下：負極</t>
  </si>
  <si>
    <t xml:space="preserve">【SVG画像＋表】P8 画像の層の順序（①〜⑤）</t>
  </si>
  <si>
    <t xml:space="preserve">固体電解質層（③、厚み12μm）の上下に接している層は次のとおりです（スライド8「第3世代セルの断面構造」より）。
- 上側：②正極（85μm）
- 下側：④負極（70μm）
つまり、固体電解質層は正極と負極に挟まれています。</t>
  </si>
  <si>
    <t xml:space="preserve">10-15</t>
  </si>
  <si>
    <t xml:space="preserve">海外への特許出願は合計何件ですか？</t>
  </si>
  <si>
    <r>
      <rPr>
        <sz val="10"/>
        <rFont val="Meiryo UI"/>
        <family val="0"/>
        <charset val="1"/>
      </rPr>
      <t xml:space="preserve">4</t>
    </r>
    <r>
      <rPr>
        <sz val="10"/>
        <rFont val="WenQuanYi Zen Hei"/>
        <family val="2"/>
      </rPr>
      <t xml:space="preserve">件</t>
    </r>
  </si>
  <si>
    <t xml:space="preserve">【結合セル】P9 2段見出しの表</t>
  </si>
  <si>
    <t xml:space="preserve">海外への特許出願は合計4件です（固体電解質2件、高ニッケル正極1件、シリコン系負極0件、急速充電制御1件。2026年10月末時点）。なお、このうち2件は審査請求前です。</t>
  </si>
  <si>
    <t xml:space="preserve">10-16</t>
  </si>
  <si>
    <t xml:space="preserve">海外出願のうち、審査請求前のものは何件ですか？</t>
  </si>
  <si>
    <r>
      <rPr>
        <sz val="10"/>
        <rFont val="Meiryo UI"/>
        <family val="0"/>
        <charset val="1"/>
      </rPr>
      <t xml:space="preserve">2</t>
    </r>
    <r>
      <rPr>
        <sz val="10"/>
        <rFont val="WenQuanYi Zen Hei"/>
        <family val="2"/>
      </rPr>
      <t xml:space="preserve">件</t>
    </r>
  </si>
  <si>
    <t xml:space="preserve">【脚注】P9 脚注※2</t>
  </si>
  <si>
    <t xml:space="preserve">海外出願（合計4件）のうち、審査請求前のものは**2件**です（スライド9の注記「※2 海外出願のうち2件は審査請求前」より。件数は2026年10月末時点）。</t>
  </si>
  <si>
    <t xml:space="preserve">10-17</t>
  </si>
  <si>
    <r>
      <rPr>
        <sz val="10"/>
        <rFont val="Meiryo UI"/>
        <family val="0"/>
        <charset val="1"/>
      </rPr>
      <t xml:space="preserve">2029</t>
    </r>
    <r>
      <rPr>
        <sz val="10"/>
        <rFont val="WenQuanYi Zen Hei"/>
        <family val="2"/>
      </rPr>
      <t xml:space="preserve">年度の開発予算の総額はいくらですか？</t>
    </r>
  </si>
  <si>
    <r>
      <rPr>
        <sz val="10"/>
        <rFont val="Meiryo UI"/>
        <family val="0"/>
        <charset val="1"/>
      </rPr>
      <t xml:space="preserve">23</t>
    </r>
    <r>
      <rPr>
        <sz val="10"/>
        <rFont val="WenQuanYi Zen Hei"/>
        <family val="2"/>
      </rPr>
      <t xml:space="preserve">億円（人件費</t>
    </r>
    <r>
      <rPr>
        <sz val="10"/>
        <rFont val="Meiryo UI"/>
        <family val="0"/>
        <charset val="1"/>
      </rPr>
      <t xml:space="preserve">8</t>
    </r>
    <r>
      <rPr>
        <sz val="10"/>
        <rFont val="WenQuanYi Zen Hei"/>
        <family val="2"/>
      </rPr>
      <t xml:space="preserve">＋設備投資</t>
    </r>
    <r>
      <rPr>
        <sz val="10"/>
        <rFont val="Meiryo UI"/>
        <family val="0"/>
        <charset val="1"/>
      </rPr>
      <t xml:space="preserve">12</t>
    </r>
    <r>
      <rPr>
        <sz val="10"/>
        <rFont val="WenQuanYi Zen Hei"/>
        <family val="2"/>
      </rPr>
      <t xml:space="preserve">＋外部委託</t>
    </r>
    <r>
      <rPr>
        <sz val="10"/>
        <rFont val="Meiryo UI"/>
        <family val="0"/>
        <charset val="1"/>
      </rPr>
      <t xml:space="preserve">3</t>
    </r>
    <r>
      <rPr>
        <sz val="10"/>
        <rFont val="WenQuanYi Zen Hei"/>
        <family val="2"/>
      </rPr>
      <t xml:space="preserve">）</t>
    </r>
  </si>
  <si>
    <t xml:space="preserve">【積み上げグラフ】P10 積み上げ縦棒（数値ラベルなし）</t>
  </si>
  <si>
    <r>
      <rPr>
        <sz val="10"/>
        <rFont val="Meiryo UI"/>
        <family val="0"/>
        <charset val="1"/>
      </rPr>
      <t xml:space="preserve">23</t>
    </r>
    <r>
      <rPr>
        <sz val="10"/>
        <rFont val="WenQuanYi Zen Hei"/>
        <family val="2"/>
      </rPr>
      <t xml:space="preserve">億円（</t>
    </r>
    <r>
      <rPr>
        <sz val="10"/>
        <rFont val="Meiryo UI"/>
        <family val="0"/>
        <charset val="1"/>
      </rPr>
      <t xml:space="preserve">8</t>
    </r>
    <r>
      <rPr>
        <sz val="10"/>
        <rFont val="WenQuanYi Zen Hei"/>
        <family val="2"/>
      </rPr>
      <t xml:space="preserve">＋</t>
    </r>
    <r>
      <rPr>
        <sz val="10"/>
        <rFont val="Meiryo UI"/>
        <family val="0"/>
        <charset val="1"/>
      </rPr>
      <t xml:space="preserve">12</t>
    </r>
    <r>
      <rPr>
        <sz val="10"/>
        <rFont val="WenQuanYi Zen Hei"/>
        <family val="2"/>
      </rPr>
      <t xml:space="preserve">＋</t>
    </r>
    <r>
      <rPr>
        <sz val="10"/>
        <rFont val="Meiryo UI"/>
        <family val="0"/>
        <charset val="1"/>
      </rPr>
      <t xml:space="preserve">3</t>
    </r>
    <r>
      <rPr>
        <sz val="10"/>
        <rFont val="WenQuanYi Zen Hei"/>
        <family val="2"/>
      </rPr>
      <t xml:space="preserve">）</t>
    </r>
  </si>
  <si>
    <r>
      <rPr>
        <sz val="11"/>
        <color theme="1"/>
        <rFont val="Calibri"/>
        <family val="2"/>
        <charset val="1"/>
      </rPr>
      <t xml:space="preserve">2029</t>
    </r>
    <r>
      <rPr>
        <sz val="11"/>
        <color theme="1"/>
        <rFont val="WenQuanYi Zen Hei"/>
        <family val="2"/>
      </rPr>
      <t xml:space="preserve">年度の開発予算の総額は</t>
    </r>
    <r>
      <rPr>
        <sz val="11"/>
        <color theme="1"/>
        <rFont val="Calibri"/>
        <family val="2"/>
        <charset val="1"/>
      </rPr>
      <t xml:space="preserve">23</t>
    </r>
    <r>
      <rPr>
        <sz val="11"/>
        <color theme="1"/>
        <rFont val="WenQuanYi Zen Hei"/>
        <family val="2"/>
      </rPr>
      <t xml:space="preserve">億円です（内訳：人件費</t>
    </r>
    <r>
      <rPr>
        <sz val="11"/>
        <color theme="1"/>
        <rFont val="Calibri"/>
        <family val="2"/>
        <charset val="1"/>
      </rPr>
      <t xml:space="preserve">8</t>
    </r>
    <r>
      <rPr>
        <sz val="11"/>
        <color theme="1"/>
        <rFont val="WenQuanYi Zen Hei"/>
        <family val="2"/>
      </rPr>
      <t xml:space="preserve">億円、設備投資</t>
    </r>
    <r>
      <rPr>
        <sz val="11"/>
        <color theme="1"/>
        <rFont val="Calibri"/>
        <family val="2"/>
        <charset val="1"/>
      </rPr>
      <t xml:space="preserve">12</t>
    </r>
    <r>
      <rPr>
        <sz val="11"/>
        <color theme="1"/>
        <rFont val="WenQuanYi Zen Hei"/>
        <family val="2"/>
      </rPr>
      <t xml:space="preserve">億円、外部委託</t>
    </r>
    <r>
      <rPr>
        <sz val="11"/>
        <color theme="1"/>
        <rFont val="Calibri"/>
        <family val="2"/>
        <charset val="1"/>
      </rPr>
      <t xml:space="preserve">3</t>
    </r>
    <r>
      <rPr>
        <sz val="11"/>
        <color theme="1"/>
        <rFont val="WenQuanYi Zen Hei"/>
        <family val="2"/>
      </rPr>
      <t xml:space="preserve">億円）。</t>
    </r>
    <r>
      <rPr>
        <sz val="11"/>
        <color theme="1"/>
        <rFont val="Calibri"/>
        <family val="2"/>
        <charset val="1"/>
      </rPr>
      <t xml:space="preserve">5</t>
    </r>
    <r>
      <rPr>
        <sz val="11"/>
        <color theme="1"/>
        <rFont val="WenQuanYi Zen Hei"/>
        <family val="2"/>
      </rPr>
      <t xml:space="preserve">年間で最も多い年度で、量産ライン投資が集中するためです。
なお、この合計値はグラフの値から算出したもので、スライドに記載された数値ではありません。また発表者ノートによると、</t>
    </r>
    <r>
      <rPr>
        <sz val="11"/>
        <color theme="1"/>
        <rFont val="Calibri"/>
        <family val="2"/>
        <charset val="1"/>
      </rPr>
      <t xml:space="preserve">2029</t>
    </r>
    <r>
      <rPr>
        <sz val="11"/>
        <color theme="1"/>
        <rFont val="WenQuanYi Zen Hei"/>
        <family val="2"/>
      </rPr>
      <t xml:space="preserve">年度の予算は公的補助金（最大</t>
    </r>
    <r>
      <rPr>
        <sz val="11"/>
        <color theme="1"/>
        <rFont val="Calibri"/>
        <family val="2"/>
        <charset val="1"/>
      </rPr>
      <t xml:space="preserve">8</t>
    </r>
    <r>
      <rPr>
        <sz val="11"/>
        <color theme="1"/>
        <rFont val="WenQuanYi Zen Hei"/>
        <family val="2"/>
      </rPr>
      <t xml:space="preserve">億円）の採択を前提としており、不採択の場合は量産ライン投資が</t>
    </r>
    <r>
      <rPr>
        <sz val="11"/>
        <color theme="1"/>
        <rFont val="Calibri"/>
        <family val="2"/>
        <charset val="1"/>
      </rPr>
      <t xml:space="preserve">2030</t>
    </r>
    <r>
      <rPr>
        <sz val="11"/>
        <color theme="1"/>
        <rFont val="WenQuanYi Zen Hei"/>
        <family val="2"/>
      </rPr>
      <t xml:space="preserve">年度に繰り延べられるため、金額が変わる可能性があります。</t>
    </r>
  </si>
  <si>
    <t xml:space="preserve">10-18</t>
  </si>
  <si>
    <r>
      <rPr>
        <sz val="10"/>
        <rFont val="Meiryo UI"/>
        <family val="0"/>
        <charset val="1"/>
      </rPr>
      <t xml:space="preserve">2029</t>
    </r>
    <r>
      <rPr>
        <sz val="10"/>
        <rFont val="WenQuanYi Zen Hei"/>
        <family val="2"/>
      </rPr>
      <t xml:space="preserve">年度の予算は何を前提としていますか？前提が崩れた場合はどうしますか？</t>
    </r>
  </si>
  <si>
    <t xml:space="preserve">公的補助金（最大8億円）の採択が前提。不採択なら量産ライン投資を2030年度に繰り延べる</t>
  </si>
  <si>
    <t xml:space="preserve">公的補助金（最大8億円）の採択が前提。不採択なら量産ライン投資を2030年度に繰り延べ</t>
  </si>
  <si>
    <r>
      <rPr>
        <sz val="11"/>
        <color theme="1"/>
        <rFont val="Calibri"/>
        <family val="2"/>
        <charset val="1"/>
      </rPr>
      <t xml:space="preserve">2029</t>
    </r>
    <r>
      <rPr>
        <sz val="11"/>
        <color theme="1"/>
        <rFont val="WenQuanYi Zen Hei"/>
        <family val="2"/>
      </rPr>
      <t xml:space="preserve">年度の予算（</t>
    </r>
    <r>
      <rPr>
        <sz val="11"/>
        <color theme="1"/>
        <rFont val="Calibri"/>
        <family val="2"/>
        <charset val="1"/>
      </rPr>
      <t xml:space="preserve">23</t>
    </r>
    <r>
      <rPr>
        <sz val="11"/>
        <color theme="1"/>
        <rFont val="WenQuanYi Zen Hei"/>
        <family val="2"/>
      </rPr>
      <t xml:space="preserve">億円。量産ライン投資が集中する年度）は、公的補助金（最大</t>
    </r>
    <r>
      <rPr>
        <sz val="11"/>
        <color theme="1"/>
        <rFont val="Calibri"/>
        <family val="2"/>
        <charset val="1"/>
      </rPr>
      <t xml:space="preserve">8</t>
    </r>
    <r>
      <rPr>
        <sz val="11"/>
        <color theme="1"/>
        <rFont val="WenQuanYi Zen Hei"/>
        <family val="2"/>
      </rPr>
      <t xml:space="preserve">億円）の採択を前提としています（スライド</t>
    </r>
    <r>
      <rPr>
        <sz val="11"/>
        <color theme="1"/>
        <rFont val="Calibri"/>
        <family val="2"/>
        <charset val="1"/>
      </rPr>
      <t xml:space="preserve">10</t>
    </r>
    <r>
      <rPr>
        <sz val="11"/>
        <color theme="1"/>
        <rFont val="WenQuanYi Zen Hei"/>
        <family val="2"/>
      </rPr>
      <t xml:space="preserve">の発表者ノート）。
補助金が不採択となり前提が崩れた場合は、量産ライン投資を</t>
    </r>
    <r>
      <rPr>
        <sz val="11"/>
        <color theme="1"/>
        <rFont val="Calibri"/>
        <family val="2"/>
        <charset val="1"/>
      </rPr>
      <t xml:space="preserve">2030</t>
    </r>
    <r>
      <rPr>
        <sz val="11"/>
        <color theme="1"/>
        <rFont val="WenQuanYi Zen Hei"/>
        <family val="2"/>
      </rPr>
      <t xml:space="preserve">年度に繰り延べます。
なお、この前提はスライド本文には書かれておらず発表者ノートにのみ記載されたもので、補助金の採択結果によっては、</t>
    </r>
    <r>
      <rPr>
        <sz val="11"/>
        <color theme="1"/>
        <rFont val="Calibri"/>
        <family val="2"/>
        <charset val="1"/>
      </rPr>
      <t xml:space="preserve">2029</t>
    </r>
    <r>
      <rPr>
        <sz val="11"/>
        <color theme="1"/>
        <rFont val="WenQuanYi Zen Hei"/>
        <family val="2"/>
      </rPr>
      <t xml:space="preserve">年度の予算</t>
    </r>
    <r>
      <rPr>
        <sz val="11"/>
        <color theme="1"/>
        <rFont val="Calibri"/>
        <family val="2"/>
        <charset val="1"/>
      </rPr>
      <t xml:space="preserve">23</t>
    </r>
    <r>
      <rPr>
        <sz val="11"/>
        <color theme="1"/>
        <rFont val="WenQuanYi Zen Hei"/>
        <family val="2"/>
      </rPr>
      <t xml:space="preserve">億円や、スライド</t>
    </r>
    <r>
      <rPr>
        <sz val="11"/>
        <color theme="1"/>
        <rFont val="Calibri"/>
        <family val="2"/>
        <charset val="1"/>
      </rPr>
      <t xml:space="preserve">6</t>
    </r>
    <r>
      <rPr>
        <sz val="11"/>
        <color theme="1"/>
        <rFont val="WenQuanYi Zen Hei"/>
        <family val="2"/>
      </rPr>
      <t xml:space="preserve">のロードマップにおける量産ライン投資の時期（</t>
    </r>
    <r>
      <rPr>
        <sz val="11"/>
        <color theme="1"/>
        <rFont val="Calibri"/>
        <family val="2"/>
        <charset val="1"/>
      </rPr>
      <t xml:space="preserve">2029</t>
    </r>
    <r>
      <rPr>
        <sz val="11"/>
        <color theme="1"/>
        <rFont val="WenQuanYi Zen Hei"/>
        <family val="2"/>
      </rPr>
      <t xml:space="preserve">〜</t>
    </r>
    <r>
      <rPr>
        <sz val="11"/>
        <color theme="1"/>
        <rFont val="Calibri"/>
        <family val="2"/>
        <charset val="1"/>
      </rPr>
      <t xml:space="preserve">2030</t>
    </r>
    <r>
      <rPr>
        <sz val="11"/>
        <color theme="1"/>
        <rFont val="WenQuanYi Zen Hei"/>
        <family val="2"/>
      </rPr>
      <t xml:space="preserve">年）が変わる可能性があります。</t>
    </r>
  </si>
  <si>
    <t xml:space="preserve">10-19</t>
  </si>
  <si>
    <t xml:space="preserve">第3世代セルの販売価格（1kWhあたり）はいくらですか？</t>
  </si>
  <si>
    <t xml:space="preserve">【記載なし】全体</t>
  </si>
  <si>
    <t xml:space="preserve">資料には、第3世代セルの販売価格（1kWhあたり）は記載されていません。
資料に含まれている第3世代セル関連の数値は、サイクル寿命（10,000回）、重量エネルギー密度（420 Wh/kg）、材料構成、層の厚み、開発予算（年度別・5年間合計84億円）などで、販売価格やkWhあたりのコストについての情報はありません。なお、販売開始は2031年の予定とされています（スライド6）。</t>
  </si>
  <si>
    <t xml:space="preserve">10-20</t>
  </si>
  <si>
    <t xml:space="preserve">集計（自動計算）</t>
  </si>
  <si>
    <t xml:space="preserve">使用モデル</t>
  </si>
  <si>
    <r>
      <rPr>
        <sz val="11"/>
        <color theme="1"/>
        <rFont val="Calibri"/>
        <family val="2"/>
        <charset val="1"/>
      </rPr>
      <t xml:space="preserve">claude-opus-5-5</t>
    </r>
    <r>
      <rPr>
        <sz val="11"/>
        <color theme="1"/>
        <rFont val="WenQuanYi Zen Hei"/>
        <family val="2"/>
      </rPr>
      <t xml:space="preserve">（</t>
    </r>
    <r>
      <rPr>
        <sz val="11"/>
        <color theme="1"/>
        <rFont val="Calibri"/>
        <family val="2"/>
        <charset val="1"/>
      </rPr>
      <t xml:space="preserve">1</t>
    </r>
    <r>
      <rPr>
        <sz val="11"/>
        <color theme="1"/>
        <rFont val="WenQuanYi Zen Hei"/>
        <family val="2"/>
      </rPr>
      <t xml:space="preserve">問ごとに新規サブエージェント）</t>
    </r>
  </si>
  <si>
    <t xml:space="preserve">入力方法（抽出テキスト／画像／ファイル直接など）</t>
  </si>
  <si>
    <t xml:space="preserve">抽出テキスト（pptxを変換したMarkdownを入力。xlsx・正解は非提示）</t>
  </si>
  <si>
    <t xml:space="preserve">正答率 = (OK + 0.5×部分) ÷ 判定記入数</t>
  </si>
  <si>
    <t xml:space="preserve">ファイル</t>
  </si>
  <si>
    <t xml:space="preserve">問題数</t>
  </si>
  <si>
    <t xml:space="preserve">部分</t>
  </si>
  <si>
    <t xml:space="preserve">未記入</t>
  </si>
  <si>
    <t xml:space="preserve">正答率</t>
  </si>
  <si>
    <r>
      <rPr>
        <sz val="10"/>
        <rFont val="Meiryo UI"/>
        <family val="0"/>
        <charset val="1"/>
      </rPr>
      <t xml:space="preserve">06_</t>
    </r>
    <r>
      <rPr>
        <sz val="10"/>
        <rFont val="WenQuanYi Zen Hei"/>
        <family val="2"/>
      </rPr>
      <t xml:space="preserve">新規出店計画</t>
    </r>
  </si>
  <si>
    <r>
      <rPr>
        <sz val="10"/>
        <rFont val="Meiryo UI"/>
        <family val="0"/>
        <charset val="1"/>
      </rPr>
      <t xml:space="preserve">07_</t>
    </r>
    <r>
      <rPr>
        <sz val="10"/>
        <rFont val="WenQuanYi Zen Hei"/>
        <family val="2"/>
      </rPr>
      <t xml:space="preserve">品質改善報告</t>
    </r>
  </si>
  <si>
    <r>
      <rPr>
        <sz val="10"/>
        <rFont val="Meiryo UI"/>
        <family val="0"/>
        <charset val="1"/>
      </rPr>
      <t xml:space="preserve">08_</t>
    </r>
    <r>
      <rPr>
        <sz val="10"/>
        <rFont val="WenQuanYi Zen Hei"/>
        <family val="2"/>
      </rPr>
      <t xml:space="preserve">デジタル広告</t>
    </r>
  </si>
  <si>
    <r>
      <rPr>
        <sz val="10"/>
        <rFont val="Meiryo UI"/>
        <family val="0"/>
        <charset val="1"/>
      </rPr>
      <t xml:space="preserve">09_</t>
    </r>
    <r>
      <rPr>
        <sz val="10"/>
        <rFont val="WenQuanYi Zen Hei"/>
        <family val="2"/>
      </rPr>
      <t xml:space="preserve">組織再編案</t>
    </r>
  </si>
  <si>
    <r>
      <rPr>
        <sz val="10"/>
        <rFont val="Meiryo UI"/>
        <family val="0"/>
        <charset val="1"/>
      </rPr>
      <t xml:space="preserve">10_</t>
    </r>
    <r>
      <rPr>
        <sz val="10"/>
        <rFont val="WenQuanYi Zen Hei"/>
        <family val="2"/>
      </rPr>
      <t xml:space="preserve">技術ロードマップ</t>
    </r>
  </si>
  <si>
    <t xml:space="preserve">合計</t>
  </si>
  <si>
    <t xml:space="preserve">問題種別ごと（全ファイル合計）</t>
  </si>
</sst>
</file>

<file path=xl/styles.xml><?xml version="1.0" encoding="utf-8"?>
<styleSheet xmlns="http://schemas.openxmlformats.org/spreadsheetml/2006/main">
  <numFmts count="3">
    <numFmt numFmtId="164" formatCode="General"/>
    <numFmt numFmtId="165" formatCode="0%"/>
    <numFmt numFmtId="166" formatCode="General"/>
  </numFmts>
  <fonts count="21">
    <font>
      <sz val="11"/>
      <color theme="1"/>
      <name val="Calibri"/>
      <family val="2"/>
      <charset val="1"/>
    </font>
    <font>
      <sz val="10"/>
      <name val="Arial"/>
      <family val="0"/>
    </font>
    <font>
      <sz val="10"/>
      <name val="Arial"/>
      <family val="0"/>
    </font>
    <font>
      <sz val="10"/>
      <name val="Arial"/>
      <family val="0"/>
    </font>
    <font>
      <b val="true"/>
      <sz val="16"/>
      <name val="WenQuanYi Zen Hei"/>
      <family val="2"/>
      <charset val="1"/>
    </font>
    <font>
      <sz val="10"/>
      <name val="Meiryo UI"/>
      <family val="0"/>
      <charset val="1"/>
    </font>
    <font>
      <b val="true"/>
      <sz val="12"/>
      <name val="WenQuanYi Zen Hei"/>
      <family val="2"/>
      <charset val="1"/>
    </font>
    <font>
      <sz val="10"/>
      <name val="WenQuanYi Zen Hei"/>
      <family val="2"/>
      <charset val="1"/>
    </font>
    <font>
      <sz val="10"/>
      <name val="WenQuanYi Zen Hei"/>
      <family val="2"/>
    </font>
    <font>
      <b val="true"/>
      <sz val="10"/>
      <color rgb="FFFFFFFF"/>
      <name val="Meiryo UI"/>
      <family val="0"/>
      <charset val="1"/>
    </font>
    <font>
      <b val="true"/>
      <sz val="10"/>
      <color rgb="FFFFFFFF"/>
      <name val="WenQuanYi Zen Hei"/>
      <family val="2"/>
      <charset val="1"/>
    </font>
    <font>
      <b val="true"/>
      <sz val="10"/>
      <color rgb="FFFFFFFF"/>
      <name val="WenQuanYi Zen Hei"/>
      <family val="2"/>
    </font>
    <font>
      <sz val="11"/>
      <color theme="1"/>
      <name val="WenQuanYi Zen Hei"/>
      <family val="2"/>
    </font>
    <font>
      <sz val="11"/>
      <color theme="1"/>
      <name val="WenQuanYi Zen Hei"/>
      <family val="2"/>
      <charset val="1"/>
    </font>
    <font>
      <b val="true"/>
      <sz val="10"/>
      <color rgb="FF7F7F7F"/>
      <name val="WenQuanYi Zen Hei"/>
      <family val="2"/>
      <charset val="1"/>
    </font>
    <font>
      <i val="true"/>
      <sz val="10"/>
      <color rgb="FF7F7F7F"/>
      <name val="Meiryo UI"/>
      <family val="0"/>
      <charset val="1"/>
    </font>
    <font>
      <i val="true"/>
      <sz val="10"/>
      <color rgb="FF7F7F7F"/>
      <name val="WenQuanYi Zen Hei"/>
      <family val="2"/>
      <charset val="1"/>
    </font>
    <font>
      <b val="true"/>
      <sz val="14"/>
      <name val="WenQuanYi Zen Hei"/>
      <family val="2"/>
      <charset val="1"/>
    </font>
    <font>
      <b val="true"/>
      <sz val="10"/>
      <name val="WenQuanYi Zen Hei"/>
      <family val="2"/>
      <charset val="1"/>
    </font>
    <font>
      <sz val="10"/>
      <color rgb="FF7F7F7F"/>
      <name val="WenQuanYi Zen Hei"/>
      <family val="2"/>
      <charset val="1"/>
    </font>
    <font>
      <b val="true"/>
      <sz val="10"/>
      <name val="Meiryo UI"/>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6" fontId="20" fillId="0" borderId="1" xfId="0" applyFont="true" applyBorder="true" applyAlignment="true" applyProtection="false">
      <alignment horizontal="general" vertical="bottom" textRotation="0" wrapText="false" indent="0" shrinkToFit="false"/>
      <protection locked="true" hidden="false"/>
    </xf>
    <xf numFmtId="165" fontId="20"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F2CC"/>
          <bgColor rgb="FF000000"/>
        </patternFill>
      </fill>
    </dxf>
    <dxf>
      <fill>
        <patternFill>
          <bgColor rgb="FFC6EFCE"/>
        </patternFill>
      </fill>
    </dxf>
    <dxf>
      <fill>
        <patternFill>
          <bgColor rgb="FFFFEB9C"/>
        </patternFill>
      </fill>
    </dxf>
    <dxf>
      <fill>
        <patternFill>
          <bgColor rgb="FFFFC7CE"/>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23.2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15" hidden="false" customHeight="true" outlineLevel="0" collapsed="false">
      <c r="A4" s="5" t="s">
        <v>2</v>
      </c>
    </row>
    <row r="5" customFormat="false" ht="15" hidden="false" customHeight="true" outlineLevel="0" collapsed="false">
      <c r="A5" s="5" t="s">
        <v>3</v>
      </c>
    </row>
    <row r="6" customFormat="false" ht="15" hidden="false" customHeight="true" outlineLevel="0" collapsed="false">
      <c r="A6" s="5" t="s">
        <v>4</v>
      </c>
    </row>
    <row r="7" customFormat="false" ht="15" hidden="false" customHeight="true" outlineLevel="0" collapsed="false">
      <c r="A7" s="5" t="s">
        <v>5</v>
      </c>
    </row>
    <row r="8" customFormat="false" ht="15" hidden="false" customHeight="true" outlineLevel="0" collapsed="false">
      <c r="A8" s="5" t="s">
        <v>6</v>
      </c>
    </row>
    <row r="9" customFormat="false" ht="15" hidden="false" customHeight="true" outlineLevel="0" collapsed="false">
      <c r="A9" s="3"/>
    </row>
    <row r="10" customFormat="false" ht="15" hidden="false" customHeight="true" outlineLevel="0" collapsed="false">
      <c r="A10" s="4"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t="s">
        <v>11</v>
      </c>
    </row>
    <row r="15" customFormat="false" ht="15" hidden="false" customHeight="true" outlineLevel="0" collapsed="false">
      <c r="A15" s="3"/>
    </row>
    <row r="16" customFormat="false" ht="15" hidden="false" customHeight="true" outlineLevel="0" collapsed="false">
      <c r="A16" s="4" t="s">
        <v>12</v>
      </c>
    </row>
    <row r="17" customFormat="false" ht="15" hidden="false" customHeight="true" outlineLevel="0" collapsed="false">
      <c r="A17" s="5" t="s">
        <v>13</v>
      </c>
    </row>
    <row r="18" customFormat="false" ht="15" hidden="false" customHeight="true" outlineLevel="0" collapsed="false">
      <c r="A18" s="3"/>
    </row>
    <row r="19" customFormat="false" ht="15" hidden="false" customHeight="true" outlineLevel="0" collapsed="false">
      <c r="A19" s="4" t="s">
        <v>14</v>
      </c>
    </row>
    <row r="20" customFormat="false" ht="15" hidden="false" customHeight="true" outlineLevel="0" collapsed="false">
      <c r="A20" s="5" t="s">
        <v>15</v>
      </c>
    </row>
    <row r="21" customFormat="false" ht="15" hidden="false" customHeight="true" outlineLevel="0" collapsed="false">
      <c r="A21" s="5"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14"/>
    <col collapsed="false" customWidth="true" hidden="false" outlineLevel="0" max="5" min="4" style="1" width="46"/>
    <col collapsed="false" customWidth="true" hidden="false" outlineLevel="0" max="6" min="6" style="1" width="30"/>
    <col collapsed="false" customWidth="true" hidden="false" outlineLevel="0" max="7" min="7" style="1" width="28"/>
    <col collapsed="false" customWidth="true" hidden="false" outlineLevel="0" max="8" min="8" style="1" width="8"/>
    <col collapsed="false" customWidth="true" hidden="false" outlineLevel="0" max="9" min="9" style="1" width="40"/>
    <col collapsed="false" customWidth="true" hidden="false" outlineLevel="0" max="10" min="10" style="1" width="24"/>
    <col collapsed="false" customWidth="true" hidden="false" outlineLevel="0" max="11" min="11" style="1" width="80"/>
    <col collapsed="false" customWidth="true" hidden="false" outlineLevel="0" max="12" min="12" style="1" width="10"/>
  </cols>
  <sheetData>
    <row r="1" customFormat="false" ht="18.75" hidden="false" customHeight="true" outlineLevel="0" collapsed="false">
      <c r="A1" s="4" t="s">
        <v>17</v>
      </c>
    </row>
    <row r="2" customFormat="false" ht="29.25" hidden="false" customHeight="true" outlineLevel="0" collapsed="false">
      <c r="A2" s="6" t="s">
        <v>18</v>
      </c>
      <c r="B2" s="7" t="s">
        <v>19</v>
      </c>
      <c r="C2" s="7" t="s">
        <v>20</v>
      </c>
      <c r="D2" s="7" t="s">
        <v>21</v>
      </c>
      <c r="E2" s="7" t="s">
        <v>22</v>
      </c>
      <c r="F2" s="7" t="s">
        <v>23</v>
      </c>
      <c r="G2" s="7" t="s">
        <v>24</v>
      </c>
      <c r="H2" s="7" t="s">
        <v>25</v>
      </c>
      <c r="I2" s="6" t="s">
        <v>26</v>
      </c>
      <c r="J2" s="7" t="s">
        <v>27</v>
      </c>
      <c r="K2" s="1" t="s">
        <v>28</v>
      </c>
      <c r="L2" s="8" t="s">
        <v>29</v>
      </c>
    </row>
    <row r="3" customFormat="false" ht="43.5" hidden="false" customHeight="true" outlineLevel="0" collapsed="false">
      <c r="A3" s="9" t="n">
        <v>1</v>
      </c>
      <c r="B3" s="9" t="s">
        <v>30</v>
      </c>
      <c r="C3" s="10" t="s">
        <v>31</v>
      </c>
      <c r="D3" s="10" t="s">
        <v>32</v>
      </c>
      <c r="E3" s="10" t="s">
        <v>33</v>
      </c>
      <c r="F3" s="10" t="s">
        <v>34</v>
      </c>
      <c r="G3" s="10" t="s">
        <v>35</v>
      </c>
      <c r="H3" s="11" t="s">
        <v>36</v>
      </c>
      <c r="I3" s="12" t="s">
        <v>33</v>
      </c>
      <c r="J3" s="12"/>
      <c r="K3" s="13" t="s">
        <v>37</v>
      </c>
      <c r="L3" s="1" t="s">
        <v>38</v>
      </c>
    </row>
    <row r="4" customFormat="false" ht="43.5" hidden="false" customHeight="true" outlineLevel="0" collapsed="false">
      <c r="A4" s="9" t="n">
        <v>2</v>
      </c>
      <c r="B4" s="9" t="s">
        <v>30</v>
      </c>
      <c r="C4" s="10" t="s">
        <v>31</v>
      </c>
      <c r="D4" s="10" t="s">
        <v>39</v>
      </c>
      <c r="E4" s="10" t="s">
        <v>40</v>
      </c>
      <c r="F4" s="10" t="s">
        <v>34</v>
      </c>
      <c r="G4" s="10" t="s">
        <v>41</v>
      </c>
      <c r="H4" s="11" t="s">
        <v>36</v>
      </c>
      <c r="I4" s="12" t="s">
        <v>42</v>
      </c>
      <c r="J4" s="12"/>
      <c r="K4" s="13" t="s">
        <v>43</v>
      </c>
      <c r="L4" s="1" t="s">
        <v>44</v>
      </c>
    </row>
    <row r="5" customFormat="false" ht="43.5" hidden="false" customHeight="true" outlineLevel="0" collapsed="false">
      <c r="A5" s="9" t="n">
        <v>3</v>
      </c>
      <c r="B5" s="9" t="s">
        <v>45</v>
      </c>
      <c r="C5" s="10" t="s">
        <v>46</v>
      </c>
      <c r="D5" s="10" t="s">
        <v>47</v>
      </c>
      <c r="E5" s="10" t="s">
        <v>48</v>
      </c>
      <c r="F5" s="10" t="s">
        <v>34</v>
      </c>
      <c r="G5" s="10" t="s">
        <v>49</v>
      </c>
      <c r="H5" s="11" t="s">
        <v>36</v>
      </c>
      <c r="I5" s="12" t="s">
        <v>48</v>
      </c>
      <c r="J5" s="12"/>
      <c r="K5" s="13" t="s">
        <v>50</v>
      </c>
      <c r="L5" s="1" t="s">
        <v>51</v>
      </c>
    </row>
    <row r="6" customFormat="false" ht="43.5" hidden="false" customHeight="true" outlineLevel="0" collapsed="false">
      <c r="A6" s="9" t="n">
        <v>4</v>
      </c>
      <c r="B6" s="9" t="s">
        <v>45</v>
      </c>
      <c r="C6" s="10" t="s">
        <v>46</v>
      </c>
      <c r="D6" s="10" t="s">
        <v>52</v>
      </c>
      <c r="E6" s="10" t="s">
        <v>53</v>
      </c>
      <c r="F6" s="10" t="s">
        <v>34</v>
      </c>
      <c r="G6" s="10" t="s">
        <v>54</v>
      </c>
      <c r="H6" s="11" t="s">
        <v>36</v>
      </c>
      <c r="I6" s="12" t="s">
        <v>53</v>
      </c>
      <c r="J6" s="12"/>
      <c r="K6" s="13" t="s">
        <v>55</v>
      </c>
      <c r="L6" s="1" t="s">
        <v>56</v>
      </c>
    </row>
    <row r="7" customFormat="false" ht="43.5" hidden="false" customHeight="true" outlineLevel="0" collapsed="false">
      <c r="A7" s="9" t="n">
        <v>5</v>
      </c>
      <c r="B7" s="9" t="s">
        <v>45</v>
      </c>
      <c r="C7" s="10" t="s">
        <v>46</v>
      </c>
      <c r="D7" s="10" t="s">
        <v>57</v>
      </c>
      <c r="E7" s="10" t="s">
        <v>58</v>
      </c>
      <c r="F7" s="10" t="s">
        <v>34</v>
      </c>
      <c r="G7" s="10" t="s">
        <v>59</v>
      </c>
      <c r="H7" s="11" t="s">
        <v>36</v>
      </c>
      <c r="I7" s="12" t="s">
        <v>60</v>
      </c>
      <c r="J7" s="12"/>
      <c r="K7" s="13" t="s">
        <v>61</v>
      </c>
      <c r="L7" s="1" t="s">
        <v>62</v>
      </c>
    </row>
    <row r="8" customFormat="false" ht="43.5" hidden="false" customHeight="true" outlineLevel="0" collapsed="false">
      <c r="A8" s="9" t="n">
        <v>6</v>
      </c>
      <c r="B8" s="9" t="s">
        <v>63</v>
      </c>
      <c r="C8" s="10" t="s">
        <v>64</v>
      </c>
      <c r="D8" s="10" t="s">
        <v>65</v>
      </c>
      <c r="E8" s="10" t="s">
        <v>66</v>
      </c>
      <c r="F8" s="10" t="s">
        <v>67</v>
      </c>
      <c r="G8" s="10" t="s">
        <v>68</v>
      </c>
      <c r="H8" s="11" t="s">
        <v>36</v>
      </c>
      <c r="I8" s="12" t="s">
        <v>69</v>
      </c>
      <c r="J8" s="12" t="s">
        <v>70</v>
      </c>
      <c r="K8" s="13" t="s">
        <v>71</v>
      </c>
      <c r="L8" s="1" t="s">
        <v>72</v>
      </c>
    </row>
    <row r="9" customFormat="false" ht="43.5" hidden="false" customHeight="true" outlineLevel="0" collapsed="false">
      <c r="A9" s="9" t="n">
        <v>7</v>
      </c>
      <c r="B9" s="9" t="s">
        <v>63</v>
      </c>
      <c r="C9" s="10" t="s">
        <v>73</v>
      </c>
      <c r="D9" s="10" t="s">
        <v>74</v>
      </c>
      <c r="E9" s="9" t="s">
        <v>75</v>
      </c>
      <c r="F9" s="10" t="s">
        <v>34</v>
      </c>
      <c r="G9" s="10" t="s">
        <v>76</v>
      </c>
      <c r="H9" s="11" t="s">
        <v>36</v>
      </c>
      <c r="I9" s="11" t="s">
        <v>77</v>
      </c>
      <c r="J9" s="11"/>
      <c r="K9" s="13" t="s">
        <v>78</v>
      </c>
      <c r="L9" s="1" t="s">
        <v>79</v>
      </c>
    </row>
    <row r="10" customFormat="false" ht="43.5" hidden="false" customHeight="true" outlineLevel="0" collapsed="false">
      <c r="A10" s="9" t="n">
        <v>8</v>
      </c>
      <c r="B10" s="9" t="s">
        <v>80</v>
      </c>
      <c r="C10" s="10" t="s">
        <v>64</v>
      </c>
      <c r="D10" s="10" t="s">
        <v>81</v>
      </c>
      <c r="E10" s="10" t="s">
        <v>82</v>
      </c>
      <c r="F10" s="10" t="s">
        <v>34</v>
      </c>
      <c r="G10" s="10" t="s">
        <v>83</v>
      </c>
      <c r="H10" s="11" t="s">
        <v>36</v>
      </c>
      <c r="I10" s="12" t="s">
        <v>82</v>
      </c>
      <c r="J10" s="11"/>
      <c r="K10" s="13" t="s">
        <v>84</v>
      </c>
      <c r="L10" s="1" t="s">
        <v>85</v>
      </c>
    </row>
    <row r="11" customFormat="false" ht="43.5" hidden="false" customHeight="true" outlineLevel="0" collapsed="false">
      <c r="A11" s="9" t="n">
        <v>9</v>
      </c>
      <c r="B11" s="9" t="s">
        <v>80</v>
      </c>
      <c r="C11" s="10" t="s">
        <v>64</v>
      </c>
      <c r="D11" s="10" t="s">
        <v>86</v>
      </c>
      <c r="E11" s="10" t="s">
        <v>87</v>
      </c>
      <c r="F11" s="10" t="s">
        <v>34</v>
      </c>
      <c r="G11" s="10" t="s">
        <v>88</v>
      </c>
      <c r="H11" s="11" t="s">
        <v>36</v>
      </c>
      <c r="I11" s="12" t="s">
        <v>87</v>
      </c>
      <c r="J11" s="11"/>
      <c r="K11" s="13" t="s">
        <v>89</v>
      </c>
      <c r="L11" s="1" t="s">
        <v>90</v>
      </c>
    </row>
    <row r="12" customFormat="false" ht="43.5" hidden="false" customHeight="true" outlineLevel="0" collapsed="false">
      <c r="A12" s="9" t="n">
        <v>10</v>
      </c>
      <c r="B12" s="9" t="s">
        <v>91</v>
      </c>
      <c r="C12" s="10" t="s">
        <v>92</v>
      </c>
      <c r="D12" s="10" t="s">
        <v>93</v>
      </c>
      <c r="E12" s="10" t="s">
        <v>94</v>
      </c>
      <c r="F12" s="10" t="s">
        <v>34</v>
      </c>
      <c r="G12" s="10" t="s">
        <v>95</v>
      </c>
      <c r="H12" s="11" t="s">
        <v>36</v>
      </c>
      <c r="I12" s="12" t="s">
        <v>94</v>
      </c>
      <c r="J12" s="11"/>
      <c r="K12" s="13" t="s">
        <v>96</v>
      </c>
      <c r="L12" s="1" t="s">
        <v>97</v>
      </c>
    </row>
    <row r="13" customFormat="false" ht="43.5" hidden="false" customHeight="true" outlineLevel="0" collapsed="false">
      <c r="A13" s="9" t="n">
        <v>11</v>
      </c>
      <c r="B13" s="9" t="s">
        <v>91</v>
      </c>
      <c r="C13" s="10" t="s">
        <v>98</v>
      </c>
      <c r="D13" s="10" t="s">
        <v>99</v>
      </c>
      <c r="E13" s="9" t="s">
        <v>100</v>
      </c>
      <c r="F13" s="10" t="s">
        <v>101</v>
      </c>
      <c r="G13" s="10" t="s">
        <v>102</v>
      </c>
      <c r="H13" s="11" t="s">
        <v>36</v>
      </c>
      <c r="I13" s="11" t="s">
        <v>100</v>
      </c>
      <c r="J13" s="11"/>
      <c r="K13" s="13" t="s">
        <v>103</v>
      </c>
      <c r="L13" s="1" t="s">
        <v>104</v>
      </c>
    </row>
    <row r="14" customFormat="false" ht="43.5" hidden="false" customHeight="true" outlineLevel="0" collapsed="false">
      <c r="A14" s="9" t="n">
        <v>12</v>
      </c>
      <c r="B14" s="9" t="s">
        <v>91</v>
      </c>
      <c r="C14" s="10" t="s">
        <v>92</v>
      </c>
      <c r="D14" s="10" t="s">
        <v>105</v>
      </c>
      <c r="E14" s="10" t="s">
        <v>106</v>
      </c>
      <c r="F14" s="10" t="s">
        <v>34</v>
      </c>
      <c r="G14" s="10" t="s">
        <v>107</v>
      </c>
      <c r="H14" s="11" t="s">
        <v>36</v>
      </c>
      <c r="I14" s="12" t="s">
        <v>106</v>
      </c>
      <c r="J14" s="11"/>
      <c r="K14" s="13" t="s">
        <v>108</v>
      </c>
      <c r="L14" s="1" t="s">
        <v>109</v>
      </c>
    </row>
    <row r="15" customFormat="false" ht="43.5" hidden="false" customHeight="true" outlineLevel="0" collapsed="false">
      <c r="A15" s="9" t="n">
        <v>13</v>
      </c>
      <c r="B15" s="9" t="s">
        <v>110</v>
      </c>
      <c r="C15" s="10" t="s">
        <v>111</v>
      </c>
      <c r="D15" s="10" t="s">
        <v>112</v>
      </c>
      <c r="E15" s="10" t="s">
        <v>113</v>
      </c>
      <c r="F15" s="10" t="s">
        <v>34</v>
      </c>
      <c r="G15" s="10" t="s">
        <v>114</v>
      </c>
      <c r="H15" s="11" t="s">
        <v>36</v>
      </c>
      <c r="I15" s="12" t="s">
        <v>113</v>
      </c>
      <c r="J15" s="12" t="s">
        <v>115</v>
      </c>
      <c r="K15" s="13" t="s">
        <v>116</v>
      </c>
      <c r="L15" s="1" t="s">
        <v>117</v>
      </c>
    </row>
    <row r="16" customFormat="false" ht="43.5" hidden="false" customHeight="true" outlineLevel="0" collapsed="false">
      <c r="A16" s="9" t="n">
        <v>14</v>
      </c>
      <c r="B16" s="9" t="s">
        <v>110</v>
      </c>
      <c r="C16" s="10" t="s">
        <v>31</v>
      </c>
      <c r="D16" s="10" t="s">
        <v>118</v>
      </c>
      <c r="E16" s="10" t="s">
        <v>119</v>
      </c>
      <c r="F16" s="10" t="s">
        <v>34</v>
      </c>
      <c r="G16" s="10" t="s">
        <v>120</v>
      </c>
      <c r="H16" s="11" t="s">
        <v>36</v>
      </c>
      <c r="I16" s="12" t="s">
        <v>119</v>
      </c>
      <c r="J16" s="11"/>
      <c r="K16" s="13" t="s">
        <v>121</v>
      </c>
      <c r="L16" s="1" t="s">
        <v>122</v>
      </c>
    </row>
    <row r="17" customFormat="false" ht="43.5" hidden="false" customHeight="true" outlineLevel="0" collapsed="false">
      <c r="A17" s="9" t="n">
        <v>15</v>
      </c>
      <c r="B17" s="9" t="s">
        <v>123</v>
      </c>
      <c r="C17" s="10" t="s">
        <v>31</v>
      </c>
      <c r="D17" s="10" t="s">
        <v>124</v>
      </c>
      <c r="E17" s="9" t="s">
        <v>125</v>
      </c>
      <c r="F17" s="10" t="s">
        <v>34</v>
      </c>
      <c r="G17" s="10" t="s">
        <v>126</v>
      </c>
      <c r="H17" s="11" t="s">
        <v>36</v>
      </c>
      <c r="I17" s="11" t="s">
        <v>125</v>
      </c>
      <c r="J17" s="11"/>
      <c r="K17" s="13" t="s">
        <v>127</v>
      </c>
      <c r="L17" s="1" t="s">
        <v>128</v>
      </c>
    </row>
    <row r="18" customFormat="false" ht="43.5" hidden="false" customHeight="true" outlineLevel="0" collapsed="false">
      <c r="A18" s="9" t="n">
        <v>16</v>
      </c>
      <c r="B18" s="9" t="s">
        <v>123</v>
      </c>
      <c r="C18" s="10" t="s">
        <v>31</v>
      </c>
      <c r="D18" s="10" t="s">
        <v>129</v>
      </c>
      <c r="E18" s="10" t="s">
        <v>130</v>
      </c>
      <c r="F18" s="10" t="s">
        <v>34</v>
      </c>
      <c r="G18" s="10" t="s">
        <v>131</v>
      </c>
      <c r="H18" s="11" t="s">
        <v>36</v>
      </c>
      <c r="I18" s="12" t="s">
        <v>130</v>
      </c>
      <c r="J18" s="11"/>
      <c r="K18" s="13" t="s">
        <v>132</v>
      </c>
      <c r="L18" s="1" t="s">
        <v>133</v>
      </c>
    </row>
    <row r="19" customFormat="false" ht="43.5" hidden="false" customHeight="true" outlineLevel="0" collapsed="false">
      <c r="A19" s="9" t="n">
        <v>17</v>
      </c>
      <c r="B19" s="9" t="s">
        <v>134</v>
      </c>
      <c r="C19" s="10" t="s">
        <v>73</v>
      </c>
      <c r="D19" s="10" t="s">
        <v>135</v>
      </c>
      <c r="E19" s="9" t="s">
        <v>136</v>
      </c>
      <c r="F19" s="10" t="s">
        <v>34</v>
      </c>
      <c r="G19" s="10" t="s">
        <v>137</v>
      </c>
      <c r="H19" s="11" t="s">
        <v>36</v>
      </c>
      <c r="I19" s="11" t="s">
        <v>136</v>
      </c>
      <c r="J19" s="11"/>
      <c r="K19" s="13" t="s">
        <v>138</v>
      </c>
      <c r="L19" s="1" t="s">
        <v>139</v>
      </c>
    </row>
    <row r="20" customFormat="false" ht="43.5" hidden="false" customHeight="true" outlineLevel="0" collapsed="false">
      <c r="A20" s="9" t="n">
        <v>18</v>
      </c>
      <c r="B20" s="9" t="s">
        <v>134</v>
      </c>
      <c r="C20" s="10" t="s">
        <v>73</v>
      </c>
      <c r="D20" s="10" t="s">
        <v>140</v>
      </c>
      <c r="E20" s="9" t="s">
        <v>141</v>
      </c>
      <c r="F20" s="10" t="s">
        <v>34</v>
      </c>
      <c r="G20" s="10" t="s">
        <v>142</v>
      </c>
      <c r="H20" s="11" t="s">
        <v>36</v>
      </c>
      <c r="I20" s="12" t="s">
        <v>143</v>
      </c>
      <c r="J20" s="11"/>
      <c r="K20" s="13" t="s">
        <v>144</v>
      </c>
      <c r="L20" s="1" t="s">
        <v>145</v>
      </c>
    </row>
    <row r="21" customFormat="false" ht="43.5" hidden="false" customHeight="true" outlineLevel="0" collapsed="false">
      <c r="A21" s="9" t="n">
        <v>19</v>
      </c>
      <c r="B21" s="9" t="s">
        <v>146</v>
      </c>
      <c r="C21" s="10" t="s">
        <v>73</v>
      </c>
      <c r="D21" s="10" t="s">
        <v>147</v>
      </c>
      <c r="E21" s="10" t="s">
        <v>148</v>
      </c>
      <c r="F21" s="10" t="s">
        <v>34</v>
      </c>
      <c r="G21" s="10" t="s">
        <v>149</v>
      </c>
      <c r="H21" s="11" t="s">
        <v>36</v>
      </c>
      <c r="I21" s="12" t="s">
        <v>150</v>
      </c>
      <c r="J21" s="11"/>
      <c r="K21" s="13" t="s">
        <v>151</v>
      </c>
      <c r="L21" s="1" t="s">
        <v>152</v>
      </c>
    </row>
    <row r="22" customFormat="false" ht="43.5" hidden="false" customHeight="true" outlineLevel="0" collapsed="false">
      <c r="A22" s="9" t="n">
        <v>20</v>
      </c>
      <c r="B22" s="9" t="s">
        <v>153</v>
      </c>
      <c r="C22" s="10" t="s">
        <v>154</v>
      </c>
      <c r="D22" s="10" t="s">
        <v>155</v>
      </c>
      <c r="E22" s="10" t="s">
        <v>154</v>
      </c>
      <c r="F22" s="10" t="s">
        <v>156</v>
      </c>
      <c r="G22" s="10" t="s">
        <v>157</v>
      </c>
      <c r="H22" s="11" t="s">
        <v>36</v>
      </c>
      <c r="I22" s="12" t="s">
        <v>154</v>
      </c>
      <c r="J22" s="12" t="s">
        <v>158</v>
      </c>
      <c r="K22" s="13" t="s">
        <v>159</v>
      </c>
      <c r="L22" s="1" t="s">
        <v>160</v>
      </c>
    </row>
    <row r="24" customFormat="false" ht="15" hidden="false" customHeight="true" outlineLevel="0" collapsed="false">
      <c r="A24" s="14" t="s">
        <v>161</v>
      </c>
    </row>
    <row r="25" customFormat="false" ht="15" hidden="false" customHeight="true" outlineLevel="0" collapsed="false">
      <c r="H25" s="15" t="s">
        <v>36</v>
      </c>
      <c r="I25" s="16" t="s">
        <v>162</v>
      </c>
      <c r="J25" s="15"/>
    </row>
  </sheetData>
  <autoFilter ref="A2:J22"/>
  <conditionalFormatting sqref="H3:H22">
    <cfRule type="cellIs" priority="2" operator="equal" aboveAverage="0" equalAverage="0" bottom="0" percent="0" rank="0" text="" dxfId="5">
      <formula>"OK"</formula>
    </cfRule>
    <cfRule type="cellIs" priority="3" operator="equal" aboveAverage="0" equalAverage="0" bottom="0" percent="0" rank="0" text="" dxfId="6">
      <formula>"部分"</formula>
    </cfRule>
    <cfRule type="cellIs" priority="4" operator="equal" aboveAverage="0" equalAverage="0" bottom="0" percent="0" rank="0" text="" dxfId="7">
      <formula>"NG"</formula>
    </cfRule>
  </conditionalFormatting>
  <dataValidations count="1">
    <dataValidation allowBlank="true" errorStyle="stop" operator="between" showDropDown="false" showErrorMessage="false" showInputMessage="false" sqref="H3:H22" type="list">
      <formula1>"OK,部分,NG"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14"/>
    <col collapsed="false" customWidth="true" hidden="false" outlineLevel="0" max="5" min="4" style="1" width="46"/>
    <col collapsed="false" customWidth="true" hidden="false" outlineLevel="0" max="6" min="6" style="1" width="30"/>
    <col collapsed="false" customWidth="true" hidden="false" outlineLevel="0" max="7" min="7" style="1" width="28"/>
    <col collapsed="false" customWidth="true" hidden="false" outlineLevel="0" max="8" min="8" style="1" width="8"/>
    <col collapsed="false" customWidth="true" hidden="false" outlineLevel="0" max="9" min="9" style="1" width="40"/>
    <col collapsed="false" customWidth="true" hidden="false" outlineLevel="0" max="10" min="10" style="1" width="24"/>
    <col collapsed="false" customWidth="true" hidden="false" outlineLevel="0" max="11" min="11" style="1" width="80"/>
    <col collapsed="false" customWidth="true" hidden="false" outlineLevel="0" max="12" min="12" style="1" width="10"/>
  </cols>
  <sheetData>
    <row r="1" customFormat="false" ht="18.75" hidden="false" customHeight="true" outlineLevel="0" collapsed="false">
      <c r="A1" s="4" t="s">
        <v>163</v>
      </c>
    </row>
    <row r="2" customFormat="false" ht="29.25" hidden="false" customHeight="true" outlineLevel="0" collapsed="false">
      <c r="A2" s="6" t="s">
        <v>18</v>
      </c>
      <c r="B2" s="7" t="s">
        <v>19</v>
      </c>
      <c r="C2" s="7" t="s">
        <v>20</v>
      </c>
      <c r="D2" s="7" t="s">
        <v>21</v>
      </c>
      <c r="E2" s="7" t="s">
        <v>22</v>
      </c>
      <c r="F2" s="7" t="s">
        <v>23</v>
      </c>
      <c r="G2" s="7" t="s">
        <v>24</v>
      </c>
      <c r="H2" s="7" t="s">
        <v>25</v>
      </c>
      <c r="I2" s="6" t="s">
        <v>26</v>
      </c>
      <c r="J2" s="7" t="s">
        <v>27</v>
      </c>
      <c r="K2" s="1" t="s">
        <v>28</v>
      </c>
      <c r="L2" s="8" t="s">
        <v>29</v>
      </c>
    </row>
    <row r="3" customFormat="false" ht="43.5" hidden="false" customHeight="true" outlineLevel="0" collapsed="false">
      <c r="A3" s="9" t="n">
        <v>1</v>
      </c>
      <c r="B3" s="9" t="s">
        <v>30</v>
      </c>
      <c r="C3" s="10" t="s">
        <v>164</v>
      </c>
      <c r="D3" s="9" t="s">
        <v>165</v>
      </c>
      <c r="E3" s="10" t="s">
        <v>166</v>
      </c>
      <c r="F3" s="10" t="s">
        <v>34</v>
      </c>
      <c r="G3" s="10" t="s">
        <v>167</v>
      </c>
      <c r="H3" s="11" t="s">
        <v>36</v>
      </c>
      <c r="I3" s="12" t="s">
        <v>166</v>
      </c>
      <c r="J3" s="11"/>
      <c r="K3" s="17" t="s">
        <v>168</v>
      </c>
      <c r="L3" s="1" t="s">
        <v>169</v>
      </c>
    </row>
    <row r="4" customFormat="false" ht="41.25" hidden="false" customHeight="true" outlineLevel="0" collapsed="false">
      <c r="A4" s="9" t="n">
        <v>2</v>
      </c>
      <c r="B4" s="9" t="s">
        <v>30</v>
      </c>
      <c r="C4" s="10" t="s">
        <v>64</v>
      </c>
      <c r="D4" s="10" t="s">
        <v>170</v>
      </c>
      <c r="E4" s="10" t="s">
        <v>171</v>
      </c>
      <c r="F4" s="10" t="s">
        <v>172</v>
      </c>
      <c r="G4" s="10" t="s">
        <v>173</v>
      </c>
      <c r="H4" s="11" t="s">
        <v>36</v>
      </c>
      <c r="I4" s="12" t="s">
        <v>174</v>
      </c>
      <c r="J4" s="11" t="s">
        <v>175</v>
      </c>
      <c r="K4" s="13" t="s">
        <v>176</v>
      </c>
      <c r="L4" s="1" t="s">
        <v>177</v>
      </c>
    </row>
    <row r="5" customFormat="false" ht="43.5" hidden="false" customHeight="true" outlineLevel="0" collapsed="false">
      <c r="A5" s="9" t="n">
        <v>3</v>
      </c>
      <c r="B5" s="9" t="s">
        <v>45</v>
      </c>
      <c r="C5" s="10" t="s">
        <v>46</v>
      </c>
      <c r="D5" s="10" t="s">
        <v>178</v>
      </c>
      <c r="E5" s="9" t="s">
        <v>179</v>
      </c>
      <c r="F5" s="10" t="s">
        <v>34</v>
      </c>
      <c r="G5" s="10" t="s">
        <v>180</v>
      </c>
      <c r="H5" s="11" t="s">
        <v>36</v>
      </c>
      <c r="I5" s="11" t="s">
        <v>181</v>
      </c>
      <c r="J5" s="11"/>
      <c r="K5" s="13" t="s">
        <v>182</v>
      </c>
      <c r="L5" s="1" t="s">
        <v>183</v>
      </c>
    </row>
    <row r="6" customFormat="false" ht="43.5" hidden="false" customHeight="true" outlineLevel="0" collapsed="false">
      <c r="A6" s="9" t="n">
        <v>4</v>
      </c>
      <c r="B6" s="9" t="s">
        <v>45</v>
      </c>
      <c r="C6" s="10" t="s">
        <v>46</v>
      </c>
      <c r="D6" s="10" t="s">
        <v>184</v>
      </c>
      <c r="E6" s="9" t="s">
        <v>185</v>
      </c>
      <c r="F6" s="10" t="s">
        <v>34</v>
      </c>
      <c r="G6" s="10" t="s">
        <v>186</v>
      </c>
      <c r="H6" s="11" t="s">
        <v>36</v>
      </c>
      <c r="I6" s="11" t="s">
        <v>185</v>
      </c>
      <c r="J6" s="11"/>
      <c r="K6" s="13" t="s">
        <v>187</v>
      </c>
      <c r="L6" s="1" t="s">
        <v>188</v>
      </c>
    </row>
    <row r="7" customFormat="false" ht="43.5" hidden="false" customHeight="true" outlineLevel="0" collapsed="false">
      <c r="A7" s="9" t="n">
        <v>5</v>
      </c>
      <c r="B7" s="9" t="s">
        <v>45</v>
      </c>
      <c r="C7" s="10" t="s">
        <v>98</v>
      </c>
      <c r="D7" s="10" t="s">
        <v>189</v>
      </c>
      <c r="E7" s="9" t="s">
        <v>190</v>
      </c>
      <c r="F7" s="10" t="s">
        <v>101</v>
      </c>
      <c r="G7" s="10" t="s">
        <v>191</v>
      </c>
      <c r="H7" s="11" t="s">
        <v>36</v>
      </c>
      <c r="I7" s="11" t="s">
        <v>192</v>
      </c>
      <c r="J7" s="11"/>
      <c r="K7" s="17" t="s">
        <v>193</v>
      </c>
      <c r="L7" s="1" t="s">
        <v>194</v>
      </c>
    </row>
    <row r="8" customFormat="false" ht="43.5" hidden="false" customHeight="true" outlineLevel="0" collapsed="false">
      <c r="A8" s="9" t="n">
        <v>6</v>
      </c>
      <c r="B8" s="9" t="s">
        <v>63</v>
      </c>
      <c r="C8" s="10" t="s">
        <v>111</v>
      </c>
      <c r="D8" s="10" t="s">
        <v>195</v>
      </c>
      <c r="E8" s="10" t="s">
        <v>196</v>
      </c>
      <c r="F8" s="10" t="s">
        <v>34</v>
      </c>
      <c r="G8" s="10" t="s">
        <v>197</v>
      </c>
      <c r="H8" s="11" t="s">
        <v>36</v>
      </c>
      <c r="I8" s="12" t="s">
        <v>196</v>
      </c>
      <c r="J8" s="11"/>
      <c r="K8" s="13" t="s">
        <v>198</v>
      </c>
      <c r="L8" s="1" t="s">
        <v>199</v>
      </c>
    </row>
    <row r="9" customFormat="false" ht="43.5" hidden="false" customHeight="true" outlineLevel="0" collapsed="false">
      <c r="A9" s="9" t="n">
        <v>7</v>
      </c>
      <c r="B9" s="9" t="s">
        <v>63</v>
      </c>
      <c r="C9" s="10" t="s">
        <v>111</v>
      </c>
      <c r="D9" s="10" t="s">
        <v>200</v>
      </c>
      <c r="E9" s="10" t="s">
        <v>201</v>
      </c>
      <c r="F9" s="10" t="s">
        <v>34</v>
      </c>
      <c r="G9" s="10" t="s">
        <v>202</v>
      </c>
      <c r="H9" s="11" t="s">
        <v>36</v>
      </c>
      <c r="I9" s="12" t="s">
        <v>201</v>
      </c>
      <c r="J9" s="11"/>
      <c r="K9" s="13" t="s">
        <v>203</v>
      </c>
      <c r="L9" s="1" t="s">
        <v>204</v>
      </c>
    </row>
    <row r="10" customFormat="false" ht="43.5" hidden="false" customHeight="true" outlineLevel="0" collapsed="false">
      <c r="A10" s="9" t="n">
        <v>8</v>
      </c>
      <c r="B10" s="9" t="s">
        <v>80</v>
      </c>
      <c r="C10" s="10" t="s">
        <v>46</v>
      </c>
      <c r="D10" s="10" t="s">
        <v>205</v>
      </c>
      <c r="E10" s="9" t="s">
        <v>206</v>
      </c>
      <c r="F10" s="10" t="s">
        <v>34</v>
      </c>
      <c r="G10" s="10" t="s">
        <v>207</v>
      </c>
      <c r="H10" s="11" t="s">
        <v>36</v>
      </c>
      <c r="I10" s="11" t="s">
        <v>208</v>
      </c>
      <c r="J10" s="11"/>
      <c r="K10" s="13" t="s">
        <v>209</v>
      </c>
      <c r="L10" s="1" t="s">
        <v>210</v>
      </c>
    </row>
    <row r="11" customFormat="false" ht="43.5" hidden="false" customHeight="true" outlineLevel="0" collapsed="false">
      <c r="A11" s="9" t="n">
        <v>9</v>
      </c>
      <c r="B11" s="9" t="s">
        <v>80</v>
      </c>
      <c r="C11" s="10" t="s">
        <v>46</v>
      </c>
      <c r="D11" s="10" t="s">
        <v>211</v>
      </c>
      <c r="E11" s="9" t="s">
        <v>212</v>
      </c>
      <c r="F11" s="10" t="s">
        <v>34</v>
      </c>
      <c r="G11" s="10" t="s">
        <v>213</v>
      </c>
      <c r="H11" s="11" t="s">
        <v>36</v>
      </c>
      <c r="I11" s="11" t="s">
        <v>212</v>
      </c>
      <c r="J11" s="11"/>
      <c r="K11" s="13" t="s">
        <v>214</v>
      </c>
      <c r="L11" s="1" t="s">
        <v>215</v>
      </c>
    </row>
    <row r="12" customFormat="false" ht="43.5" hidden="false" customHeight="true" outlineLevel="0" collapsed="false">
      <c r="A12" s="9" t="n">
        <v>10</v>
      </c>
      <c r="B12" s="9" t="s">
        <v>91</v>
      </c>
      <c r="C12" s="10" t="s">
        <v>64</v>
      </c>
      <c r="D12" s="10" t="s">
        <v>216</v>
      </c>
      <c r="E12" s="10" t="s">
        <v>217</v>
      </c>
      <c r="F12" s="10" t="s">
        <v>34</v>
      </c>
      <c r="G12" s="10" t="s">
        <v>218</v>
      </c>
      <c r="H12" s="11" t="s">
        <v>36</v>
      </c>
      <c r="I12" s="12" t="s">
        <v>217</v>
      </c>
      <c r="J12" s="11"/>
      <c r="K12" s="13" t="s">
        <v>219</v>
      </c>
      <c r="L12" s="1" t="s">
        <v>220</v>
      </c>
    </row>
    <row r="13" customFormat="false" ht="43.5" hidden="false" customHeight="true" outlineLevel="0" collapsed="false">
      <c r="A13" s="9" t="n">
        <v>11</v>
      </c>
      <c r="B13" s="9" t="s">
        <v>91</v>
      </c>
      <c r="C13" s="10" t="s">
        <v>64</v>
      </c>
      <c r="D13" s="10" t="s">
        <v>221</v>
      </c>
      <c r="E13" s="10" t="s">
        <v>222</v>
      </c>
      <c r="F13" s="10" t="s">
        <v>34</v>
      </c>
      <c r="G13" s="10" t="s">
        <v>223</v>
      </c>
      <c r="H13" s="11" t="s">
        <v>36</v>
      </c>
      <c r="I13" s="12" t="s">
        <v>222</v>
      </c>
      <c r="J13" s="11"/>
      <c r="K13" s="13" t="s">
        <v>224</v>
      </c>
      <c r="L13" s="1" t="s">
        <v>225</v>
      </c>
    </row>
    <row r="14" customFormat="false" ht="43.5" hidden="false" customHeight="true" outlineLevel="0" collapsed="false">
      <c r="A14" s="9" t="n">
        <v>12</v>
      </c>
      <c r="B14" s="9" t="s">
        <v>91</v>
      </c>
      <c r="C14" s="10" t="s">
        <v>64</v>
      </c>
      <c r="D14" s="10" t="s">
        <v>226</v>
      </c>
      <c r="E14" s="9" t="s">
        <v>227</v>
      </c>
      <c r="F14" s="10" t="s">
        <v>34</v>
      </c>
      <c r="G14" s="10" t="s">
        <v>228</v>
      </c>
      <c r="H14" s="11" t="s">
        <v>36</v>
      </c>
      <c r="I14" s="11" t="s">
        <v>229</v>
      </c>
      <c r="J14" s="11"/>
      <c r="K14" s="13" t="s">
        <v>230</v>
      </c>
      <c r="L14" s="1" t="s">
        <v>231</v>
      </c>
    </row>
    <row r="15" customFormat="false" ht="43.5" hidden="false" customHeight="true" outlineLevel="0" collapsed="false">
      <c r="A15" s="9" t="n">
        <v>13</v>
      </c>
      <c r="B15" s="9" t="s">
        <v>110</v>
      </c>
      <c r="C15" s="10" t="s">
        <v>31</v>
      </c>
      <c r="D15" s="10" t="s">
        <v>232</v>
      </c>
      <c r="E15" s="9" t="s">
        <v>233</v>
      </c>
      <c r="F15" s="10" t="s">
        <v>34</v>
      </c>
      <c r="G15" s="10" t="s">
        <v>234</v>
      </c>
      <c r="H15" s="11" t="s">
        <v>36</v>
      </c>
      <c r="I15" s="11" t="s">
        <v>235</v>
      </c>
      <c r="J15" s="11"/>
      <c r="K15" s="13" t="s">
        <v>236</v>
      </c>
      <c r="L15" s="1" t="s">
        <v>237</v>
      </c>
    </row>
    <row r="16" customFormat="false" ht="43.5" hidden="false" customHeight="true" outlineLevel="0" collapsed="false">
      <c r="A16" s="9" t="n">
        <v>14</v>
      </c>
      <c r="B16" s="9" t="s">
        <v>110</v>
      </c>
      <c r="C16" s="10" t="s">
        <v>98</v>
      </c>
      <c r="D16" s="10" t="s">
        <v>238</v>
      </c>
      <c r="E16" s="9" t="s">
        <v>239</v>
      </c>
      <c r="F16" s="10" t="s">
        <v>101</v>
      </c>
      <c r="G16" s="10" t="s">
        <v>240</v>
      </c>
      <c r="H16" s="11" t="s">
        <v>36</v>
      </c>
      <c r="I16" s="12" t="s">
        <v>241</v>
      </c>
      <c r="J16" s="11"/>
      <c r="K16" s="13" t="s">
        <v>242</v>
      </c>
      <c r="L16" s="1" t="s">
        <v>243</v>
      </c>
    </row>
    <row r="17" customFormat="false" ht="43.5" hidden="false" customHeight="true" outlineLevel="0" collapsed="false">
      <c r="A17" s="9" t="n">
        <v>15</v>
      </c>
      <c r="B17" s="9" t="s">
        <v>110</v>
      </c>
      <c r="C17" s="10" t="s">
        <v>64</v>
      </c>
      <c r="D17" s="10" t="s">
        <v>244</v>
      </c>
      <c r="E17" s="10" t="s">
        <v>245</v>
      </c>
      <c r="F17" s="10" t="s">
        <v>34</v>
      </c>
      <c r="G17" s="10" t="s">
        <v>246</v>
      </c>
      <c r="H17" s="11" t="s">
        <v>36</v>
      </c>
      <c r="I17" s="12" t="s">
        <v>247</v>
      </c>
      <c r="J17" s="11"/>
      <c r="K17" s="13" t="s">
        <v>248</v>
      </c>
      <c r="L17" s="1" t="s">
        <v>249</v>
      </c>
    </row>
    <row r="18" customFormat="false" ht="43.5" hidden="false" customHeight="true" outlineLevel="0" collapsed="false">
      <c r="A18" s="9" t="n">
        <v>16</v>
      </c>
      <c r="B18" s="9" t="s">
        <v>123</v>
      </c>
      <c r="C18" s="10" t="s">
        <v>111</v>
      </c>
      <c r="D18" s="10" t="s">
        <v>250</v>
      </c>
      <c r="E18" s="10" t="s">
        <v>251</v>
      </c>
      <c r="F18" s="10" t="s">
        <v>34</v>
      </c>
      <c r="G18" s="10" t="s">
        <v>252</v>
      </c>
      <c r="H18" s="11" t="s">
        <v>36</v>
      </c>
      <c r="I18" s="12" t="s">
        <v>251</v>
      </c>
      <c r="J18" s="11"/>
      <c r="K18" s="13" t="s">
        <v>253</v>
      </c>
      <c r="L18" s="1" t="s">
        <v>254</v>
      </c>
    </row>
    <row r="19" customFormat="false" ht="43.5" hidden="false" customHeight="true" outlineLevel="0" collapsed="false">
      <c r="A19" s="9" t="n">
        <v>17</v>
      </c>
      <c r="B19" s="9" t="s">
        <v>134</v>
      </c>
      <c r="C19" s="10" t="s">
        <v>31</v>
      </c>
      <c r="D19" s="10" t="s">
        <v>255</v>
      </c>
      <c r="E19" s="9" t="s">
        <v>256</v>
      </c>
      <c r="F19" s="10" t="s">
        <v>34</v>
      </c>
      <c r="G19" s="10" t="s">
        <v>257</v>
      </c>
      <c r="H19" s="11" t="s">
        <v>36</v>
      </c>
      <c r="I19" s="11" t="s">
        <v>256</v>
      </c>
      <c r="J19" s="11"/>
      <c r="K19" s="13" t="s">
        <v>258</v>
      </c>
      <c r="L19" s="1" t="s">
        <v>259</v>
      </c>
    </row>
    <row r="20" customFormat="false" ht="43.5" hidden="false" customHeight="true" outlineLevel="0" collapsed="false">
      <c r="A20" s="9" t="n">
        <v>18</v>
      </c>
      <c r="B20" s="9" t="s">
        <v>134</v>
      </c>
      <c r="C20" s="10" t="s">
        <v>46</v>
      </c>
      <c r="D20" s="10" t="s">
        <v>260</v>
      </c>
      <c r="E20" s="10" t="s">
        <v>261</v>
      </c>
      <c r="F20" s="10" t="s">
        <v>34</v>
      </c>
      <c r="G20" s="10" t="s">
        <v>262</v>
      </c>
      <c r="H20" s="11" t="s">
        <v>36</v>
      </c>
      <c r="I20" s="12" t="s">
        <v>261</v>
      </c>
      <c r="J20" s="11"/>
      <c r="K20" s="13" t="s">
        <v>263</v>
      </c>
      <c r="L20" s="1" t="s">
        <v>264</v>
      </c>
    </row>
    <row r="21" customFormat="false" ht="43.5" hidden="false" customHeight="true" outlineLevel="0" collapsed="false">
      <c r="A21" s="9" t="n">
        <v>19</v>
      </c>
      <c r="B21" s="9" t="s">
        <v>146</v>
      </c>
      <c r="C21" s="10" t="s">
        <v>92</v>
      </c>
      <c r="D21" s="10" t="s">
        <v>265</v>
      </c>
      <c r="E21" s="10" t="s">
        <v>266</v>
      </c>
      <c r="F21" s="10" t="s">
        <v>34</v>
      </c>
      <c r="G21" s="10" t="s">
        <v>267</v>
      </c>
      <c r="H21" s="11" t="s">
        <v>36</v>
      </c>
      <c r="I21" s="12" t="s">
        <v>266</v>
      </c>
      <c r="J21" s="11"/>
      <c r="K21" s="13" t="s">
        <v>268</v>
      </c>
      <c r="L21" s="1" t="s">
        <v>269</v>
      </c>
    </row>
    <row r="22" customFormat="false" ht="43.5" hidden="false" customHeight="true" outlineLevel="0" collapsed="false">
      <c r="A22" s="9" t="n">
        <v>20</v>
      </c>
      <c r="B22" s="9" t="s">
        <v>146</v>
      </c>
      <c r="C22" s="10" t="s">
        <v>73</v>
      </c>
      <c r="D22" s="10" t="s">
        <v>270</v>
      </c>
      <c r="E22" s="9" t="s">
        <v>271</v>
      </c>
      <c r="F22" s="10" t="s">
        <v>34</v>
      </c>
      <c r="G22" s="10" t="s">
        <v>149</v>
      </c>
      <c r="H22" s="11" t="s">
        <v>36</v>
      </c>
      <c r="I22" s="11" t="s">
        <v>271</v>
      </c>
      <c r="J22" s="11"/>
      <c r="K22" s="17" t="s">
        <v>272</v>
      </c>
      <c r="L22" s="1" t="s">
        <v>273</v>
      </c>
    </row>
    <row r="24" customFormat="false" ht="15" hidden="false" customHeight="true" outlineLevel="0" collapsed="false">
      <c r="A24" s="14" t="s">
        <v>161</v>
      </c>
    </row>
    <row r="25" customFormat="false" ht="15" hidden="false" customHeight="true" outlineLevel="0" collapsed="false">
      <c r="H25" s="15" t="s">
        <v>36</v>
      </c>
      <c r="I25" s="16" t="s">
        <v>162</v>
      </c>
      <c r="J25" s="15"/>
    </row>
  </sheetData>
  <autoFilter ref="A2:J22"/>
  <conditionalFormatting sqref="H3:H22">
    <cfRule type="cellIs" priority="2" operator="equal" aboveAverage="0" equalAverage="0" bottom="0" percent="0" rank="0" text="" dxfId="5">
      <formula>"OK"</formula>
    </cfRule>
    <cfRule type="cellIs" priority="3" operator="equal" aboveAverage="0" equalAverage="0" bottom="0" percent="0" rank="0" text="" dxfId="6">
      <formula>"部分"</formula>
    </cfRule>
    <cfRule type="cellIs" priority="4" operator="equal" aboveAverage="0" equalAverage="0" bottom="0" percent="0" rank="0" text="" dxfId="7">
      <formula>"NG"</formula>
    </cfRule>
  </conditionalFormatting>
  <dataValidations count="1">
    <dataValidation allowBlank="true" errorStyle="stop" operator="between" showDropDown="false" showErrorMessage="false" showInputMessage="false" sqref="H3:H22" type="list">
      <formula1>"OK,部分,NG"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14"/>
    <col collapsed="false" customWidth="true" hidden="false" outlineLevel="0" max="5" min="4" style="1" width="46"/>
    <col collapsed="false" customWidth="true" hidden="false" outlineLevel="0" max="6" min="6" style="1" width="30"/>
    <col collapsed="false" customWidth="true" hidden="false" outlineLevel="0" max="7" min="7" style="1" width="28"/>
    <col collapsed="false" customWidth="true" hidden="false" outlineLevel="0" max="8" min="8" style="1" width="8"/>
    <col collapsed="false" customWidth="true" hidden="false" outlineLevel="0" max="9" min="9" style="1" width="40"/>
    <col collapsed="false" customWidth="true" hidden="false" outlineLevel="0" max="10" min="10" style="1" width="24"/>
    <col collapsed="false" customWidth="true" hidden="false" outlineLevel="0" max="11" min="11" style="1" width="80"/>
    <col collapsed="false" customWidth="true" hidden="false" outlineLevel="0" max="12" min="12" style="1" width="10"/>
  </cols>
  <sheetData>
    <row r="1" customFormat="false" ht="18.75" hidden="false" customHeight="true" outlineLevel="0" collapsed="false">
      <c r="A1" s="4" t="s">
        <v>274</v>
      </c>
    </row>
    <row r="2" customFormat="false" ht="29.25" hidden="false" customHeight="true" outlineLevel="0" collapsed="false">
      <c r="A2" s="6" t="s">
        <v>18</v>
      </c>
      <c r="B2" s="7" t="s">
        <v>19</v>
      </c>
      <c r="C2" s="7" t="s">
        <v>20</v>
      </c>
      <c r="D2" s="7" t="s">
        <v>21</v>
      </c>
      <c r="E2" s="7" t="s">
        <v>22</v>
      </c>
      <c r="F2" s="7" t="s">
        <v>23</v>
      </c>
      <c r="G2" s="7" t="s">
        <v>24</v>
      </c>
      <c r="H2" s="7" t="s">
        <v>25</v>
      </c>
      <c r="I2" s="6" t="s">
        <v>26</v>
      </c>
      <c r="J2" s="7" t="s">
        <v>27</v>
      </c>
      <c r="K2" s="1" t="s">
        <v>28</v>
      </c>
      <c r="L2" s="8" t="s">
        <v>29</v>
      </c>
    </row>
    <row r="3" customFormat="false" ht="43.5" hidden="false" customHeight="true" outlineLevel="0" collapsed="false">
      <c r="A3" s="9" t="n">
        <v>1</v>
      </c>
      <c r="B3" s="10" t="s">
        <v>275</v>
      </c>
      <c r="C3" s="10" t="s">
        <v>64</v>
      </c>
      <c r="D3" s="10" t="s">
        <v>276</v>
      </c>
      <c r="E3" s="10" t="s">
        <v>277</v>
      </c>
      <c r="F3" s="10" t="s">
        <v>34</v>
      </c>
      <c r="G3" s="10" t="s">
        <v>278</v>
      </c>
      <c r="H3" s="11" t="s">
        <v>36</v>
      </c>
      <c r="I3" s="12" t="s">
        <v>279</v>
      </c>
      <c r="J3" s="11"/>
      <c r="K3" s="13" t="s">
        <v>280</v>
      </c>
      <c r="L3" s="1" t="s">
        <v>281</v>
      </c>
    </row>
    <row r="4" customFormat="false" ht="43.5" hidden="false" customHeight="true" outlineLevel="0" collapsed="false">
      <c r="A4" s="9" t="n">
        <v>2</v>
      </c>
      <c r="B4" s="9" t="s">
        <v>30</v>
      </c>
      <c r="C4" s="10" t="s">
        <v>111</v>
      </c>
      <c r="D4" s="10" t="s">
        <v>282</v>
      </c>
      <c r="E4" s="9" t="s">
        <v>283</v>
      </c>
      <c r="F4" s="10" t="s">
        <v>34</v>
      </c>
      <c r="G4" s="10" t="s">
        <v>284</v>
      </c>
      <c r="H4" s="11" t="s">
        <v>36</v>
      </c>
      <c r="I4" s="11" t="s">
        <v>283</v>
      </c>
      <c r="J4" s="11"/>
      <c r="K4" s="13" t="s">
        <v>285</v>
      </c>
      <c r="L4" s="1" t="s">
        <v>286</v>
      </c>
    </row>
    <row r="5" customFormat="false" ht="43.5" hidden="false" customHeight="true" outlineLevel="0" collapsed="false">
      <c r="A5" s="9" t="n">
        <v>3</v>
      </c>
      <c r="B5" s="9" t="s">
        <v>30</v>
      </c>
      <c r="C5" s="10" t="s">
        <v>98</v>
      </c>
      <c r="D5" s="10" t="s">
        <v>287</v>
      </c>
      <c r="E5" s="9" t="s">
        <v>288</v>
      </c>
      <c r="F5" s="10" t="s">
        <v>101</v>
      </c>
      <c r="G5" s="10" t="s">
        <v>289</v>
      </c>
      <c r="H5" s="11" t="s">
        <v>36</v>
      </c>
      <c r="I5" s="11" t="s">
        <v>290</v>
      </c>
      <c r="J5" s="11"/>
      <c r="K5" s="13" t="s">
        <v>291</v>
      </c>
      <c r="L5" s="1" t="s">
        <v>292</v>
      </c>
    </row>
    <row r="6" customFormat="false" ht="43.5" hidden="false" customHeight="true" outlineLevel="0" collapsed="false">
      <c r="A6" s="9" t="n">
        <v>4</v>
      </c>
      <c r="B6" s="9" t="s">
        <v>30</v>
      </c>
      <c r="C6" s="10" t="s">
        <v>111</v>
      </c>
      <c r="D6" s="10" t="s">
        <v>293</v>
      </c>
      <c r="E6" s="9" t="s">
        <v>294</v>
      </c>
      <c r="F6" s="10" t="s">
        <v>34</v>
      </c>
      <c r="G6" s="10" t="s">
        <v>295</v>
      </c>
      <c r="H6" s="11" t="s">
        <v>36</v>
      </c>
      <c r="I6" s="11" t="s">
        <v>294</v>
      </c>
      <c r="J6" s="11"/>
      <c r="K6" s="13" t="s">
        <v>296</v>
      </c>
      <c r="L6" s="1" t="s">
        <v>297</v>
      </c>
    </row>
    <row r="7" customFormat="false" ht="43.5" hidden="false" customHeight="true" outlineLevel="0" collapsed="false">
      <c r="A7" s="9" t="n">
        <v>5</v>
      </c>
      <c r="B7" s="9" t="s">
        <v>45</v>
      </c>
      <c r="C7" s="10" t="s">
        <v>46</v>
      </c>
      <c r="D7" s="9" t="s">
        <v>298</v>
      </c>
      <c r="E7" s="10" t="s">
        <v>299</v>
      </c>
      <c r="F7" s="10" t="s">
        <v>34</v>
      </c>
      <c r="G7" s="10" t="s">
        <v>300</v>
      </c>
      <c r="H7" s="11" t="s">
        <v>36</v>
      </c>
      <c r="I7" s="12" t="s">
        <v>299</v>
      </c>
      <c r="J7" s="11"/>
      <c r="K7" s="17" t="s">
        <v>301</v>
      </c>
      <c r="L7" s="1" t="s">
        <v>302</v>
      </c>
    </row>
    <row r="8" customFormat="false" ht="43.5" hidden="false" customHeight="true" outlineLevel="0" collapsed="false">
      <c r="A8" s="9" t="n">
        <v>6</v>
      </c>
      <c r="B8" s="9" t="s">
        <v>45</v>
      </c>
      <c r="C8" s="10" t="s">
        <v>111</v>
      </c>
      <c r="D8" s="10" t="s">
        <v>303</v>
      </c>
      <c r="E8" s="9" t="s">
        <v>304</v>
      </c>
      <c r="F8" s="10" t="s">
        <v>34</v>
      </c>
      <c r="G8" s="10" t="s">
        <v>305</v>
      </c>
      <c r="H8" s="11" t="s">
        <v>36</v>
      </c>
      <c r="I8" s="11" t="s">
        <v>306</v>
      </c>
      <c r="J8" s="11"/>
      <c r="K8" s="13" t="s">
        <v>307</v>
      </c>
      <c r="L8" s="1" t="s">
        <v>308</v>
      </c>
    </row>
    <row r="9" customFormat="false" ht="43.5" hidden="false" customHeight="true" outlineLevel="0" collapsed="false">
      <c r="A9" s="9" t="n">
        <v>7</v>
      </c>
      <c r="B9" s="9" t="s">
        <v>45</v>
      </c>
      <c r="C9" s="10" t="s">
        <v>98</v>
      </c>
      <c r="D9" s="9" t="s">
        <v>309</v>
      </c>
      <c r="E9" s="9" t="s">
        <v>310</v>
      </c>
      <c r="F9" s="10" t="s">
        <v>101</v>
      </c>
      <c r="G9" s="10" t="s">
        <v>311</v>
      </c>
      <c r="H9" s="11" t="s">
        <v>36</v>
      </c>
      <c r="I9" s="11" t="s">
        <v>312</v>
      </c>
      <c r="J9" s="11"/>
      <c r="K9" s="17" t="s">
        <v>313</v>
      </c>
      <c r="L9" s="1" t="s">
        <v>314</v>
      </c>
    </row>
    <row r="10" customFormat="false" ht="43.5" hidden="false" customHeight="true" outlineLevel="0" collapsed="false">
      <c r="A10" s="9" t="n">
        <v>8</v>
      </c>
      <c r="B10" s="9" t="s">
        <v>63</v>
      </c>
      <c r="C10" s="10" t="s">
        <v>46</v>
      </c>
      <c r="D10" s="9" t="s">
        <v>315</v>
      </c>
      <c r="E10" s="9" t="s">
        <v>316</v>
      </c>
      <c r="F10" s="10" t="s">
        <v>34</v>
      </c>
      <c r="G10" s="10" t="s">
        <v>317</v>
      </c>
      <c r="H10" s="11" t="s">
        <v>36</v>
      </c>
      <c r="I10" s="11" t="s">
        <v>318</v>
      </c>
      <c r="J10" s="11"/>
      <c r="K10" s="17" t="s">
        <v>319</v>
      </c>
      <c r="L10" s="1" t="s">
        <v>320</v>
      </c>
    </row>
    <row r="11" customFormat="false" ht="43.5" hidden="false" customHeight="true" outlineLevel="0" collapsed="false">
      <c r="A11" s="9" t="n">
        <v>9</v>
      </c>
      <c r="B11" s="9" t="s">
        <v>63</v>
      </c>
      <c r="C11" s="10" t="s">
        <v>111</v>
      </c>
      <c r="D11" s="10" t="s">
        <v>321</v>
      </c>
      <c r="E11" s="9" t="s">
        <v>322</v>
      </c>
      <c r="F11" s="10" t="s">
        <v>34</v>
      </c>
      <c r="G11" s="10" t="s">
        <v>323</v>
      </c>
      <c r="H11" s="11" t="s">
        <v>36</v>
      </c>
      <c r="I11" s="12" t="s">
        <v>324</v>
      </c>
      <c r="J11" s="12" t="s">
        <v>325</v>
      </c>
      <c r="K11" s="13" t="s">
        <v>326</v>
      </c>
      <c r="L11" s="1" t="s">
        <v>327</v>
      </c>
    </row>
    <row r="12" customFormat="false" ht="43.5" hidden="false" customHeight="true" outlineLevel="0" collapsed="false">
      <c r="A12" s="9" t="n">
        <v>10</v>
      </c>
      <c r="B12" s="9" t="s">
        <v>80</v>
      </c>
      <c r="C12" s="10" t="s">
        <v>92</v>
      </c>
      <c r="D12" s="9" t="s">
        <v>328</v>
      </c>
      <c r="E12" s="10" t="s">
        <v>329</v>
      </c>
      <c r="F12" s="10" t="s">
        <v>34</v>
      </c>
      <c r="G12" s="10" t="s">
        <v>330</v>
      </c>
      <c r="H12" s="11" t="s">
        <v>36</v>
      </c>
      <c r="I12" s="12" t="s">
        <v>329</v>
      </c>
      <c r="J12" s="11"/>
      <c r="K12" s="17" t="s">
        <v>331</v>
      </c>
      <c r="L12" s="1" t="s">
        <v>332</v>
      </c>
    </row>
    <row r="13" customFormat="false" ht="43.5" hidden="false" customHeight="true" outlineLevel="0" collapsed="false">
      <c r="A13" s="9" t="n">
        <v>11</v>
      </c>
      <c r="B13" s="9" t="s">
        <v>80</v>
      </c>
      <c r="C13" s="10" t="s">
        <v>98</v>
      </c>
      <c r="D13" s="10" t="s">
        <v>333</v>
      </c>
      <c r="E13" s="9" t="s">
        <v>334</v>
      </c>
      <c r="F13" s="10" t="s">
        <v>101</v>
      </c>
      <c r="G13" s="10" t="s">
        <v>335</v>
      </c>
      <c r="H13" s="11" t="s">
        <v>36</v>
      </c>
      <c r="I13" s="12" t="s">
        <v>336</v>
      </c>
      <c r="J13" s="11"/>
      <c r="K13" s="13" t="s">
        <v>337</v>
      </c>
      <c r="L13" s="1" t="s">
        <v>338</v>
      </c>
    </row>
    <row r="14" customFormat="false" ht="43.5" hidden="false" customHeight="true" outlineLevel="0" collapsed="false">
      <c r="A14" s="9" t="n">
        <v>12</v>
      </c>
      <c r="B14" s="9" t="s">
        <v>91</v>
      </c>
      <c r="C14" s="10" t="s">
        <v>46</v>
      </c>
      <c r="D14" s="10" t="s">
        <v>339</v>
      </c>
      <c r="E14" s="9" t="s">
        <v>340</v>
      </c>
      <c r="F14" s="10" t="s">
        <v>34</v>
      </c>
      <c r="G14" s="10" t="s">
        <v>341</v>
      </c>
      <c r="H14" s="11" t="s">
        <v>36</v>
      </c>
      <c r="I14" s="11" t="s">
        <v>340</v>
      </c>
      <c r="J14" s="11"/>
      <c r="K14" s="13" t="s">
        <v>342</v>
      </c>
      <c r="L14" s="1" t="s">
        <v>343</v>
      </c>
    </row>
    <row r="15" customFormat="false" ht="43.5" hidden="false" customHeight="true" outlineLevel="0" collapsed="false">
      <c r="A15" s="9" t="n">
        <v>13</v>
      </c>
      <c r="B15" s="9" t="s">
        <v>91</v>
      </c>
      <c r="C15" s="10" t="s">
        <v>46</v>
      </c>
      <c r="D15" s="10" t="s">
        <v>344</v>
      </c>
      <c r="E15" s="9" t="s">
        <v>345</v>
      </c>
      <c r="F15" s="10" t="s">
        <v>34</v>
      </c>
      <c r="G15" s="10" t="s">
        <v>346</v>
      </c>
      <c r="H15" s="11" t="s">
        <v>36</v>
      </c>
      <c r="I15" s="11" t="s">
        <v>345</v>
      </c>
      <c r="J15" s="11"/>
      <c r="K15" s="13" t="s">
        <v>347</v>
      </c>
      <c r="L15" s="1" t="s">
        <v>348</v>
      </c>
    </row>
    <row r="16" customFormat="false" ht="43.5" hidden="false" customHeight="true" outlineLevel="0" collapsed="false">
      <c r="A16" s="9" t="n">
        <v>14</v>
      </c>
      <c r="B16" s="9" t="s">
        <v>91</v>
      </c>
      <c r="C16" s="10" t="s">
        <v>31</v>
      </c>
      <c r="D16" s="10" t="s">
        <v>349</v>
      </c>
      <c r="E16" s="10" t="s">
        <v>350</v>
      </c>
      <c r="F16" s="10" t="s">
        <v>34</v>
      </c>
      <c r="G16" s="10" t="s">
        <v>351</v>
      </c>
      <c r="H16" s="11" t="s">
        <v>36</v>
      </c>
      <c r="I16" s="12" t="s">
        <v>350</v>
      </c>
      <c r="J16" s="11"/>
      <c r="K16" s="13" t="s">
        <v>352</v>
      </c>
      <c r="L16" s="1" t="s">
        <v>353</v>
      </c>
    </row>
    <row r="17" customFormat="false" ht="43.5" hidden="false" customHeight="true" outlineLevel="0" collapsed="false">
      <c r="A17" s="9" t="n">
        <v>15</v>
      </c>
      <c r="B17" s="9" t="s">
        <v>110</v>
      </c>
      <c r="C17" s="10" t="s">
        <v>64</v>
      </c>
      <c r="D17" s="10" t="s">
        <v>354</v>
      </c>
      <c r="E17" s="10" t="s">
        <v>355</v>
      </c>
      <c r="F17" s="10" t="s">
        <v>34</v>
      </c>
      <c r="G17" s="10" t="s">
        <v>356</v>
      </c>
      <c r="H17" s="11" t="s">
        <v>36</v>
      </c>
      <c r="I17" s="12" t="s">
        <v>357</v>
      </c>
      <c r="J17" s="11"/>
      <c r="K17" s="13" t="s">
        <v>358</v>
      </c>
      <c r="L17" s="1" t="s">
        <v>359</v>
      </c>
    </row>
    <row r="18" customFormat="false" ht="43.5" hidden="false" customHeight="true" outlineLevel="0" collapsed="false">
      <c r="A18" s="9" t="n">
        <v>16</v>
      </c>
      <c r="B18" s="9" t="s">
        <v>123</v>
      </c>
      <c r="C18" s="10" t="s">
        <v>31</v>
      </c>
      <c r="D18" s="10" t="s">
        <v>360</v>
      </c>
      <c r="E18" s="9" t="s">
        <v>361</v>
      </c>
      <c r="F18" s="10" t="s">
        <v>34</v>
      </c>
      <c r="G18" s="10" t="s">
        <v>362</v>
      </c>
      <c r="H18" s="11" t="s">
        <v>36</v>
      </c>
      <c r="I18" s="11" t="s">
        <v>363</v>
      </c>
      <c r="J18" s="11"/>
      <c r="K18" s="13" t="s">
        <v>364</v>
      </c>
      <c r="L18" s="1" t="s">
        <v>365</v>
      </c>
    </row>
    <row r="19" customFormat="false" ht="43.5" hidden="false" customHeight="true" outlineLevel="0" collapsed="false">
      <c r="A19" s="9" t="n">
        <v>17</v>
      </c>
      <c r="B19" s="9" t="s">
        <v>123</v>
      </c>
      <c r="C19" s="10" t="s">
        <v>31</v>
      </c>
      <c r="D19" s="10" t="s">
        <v>366</v>
      </c>
      <c r="E19" s="9" t="s">
        <v>367</v>
      </c>
      <c r="F19" s="10" t="s">
        <v>34</v>
      </c>
      <c r="G19" s="10" t="s">
        <v>368</v>
      </c>
      <c r="H19" s="11" t="s">
        <v>36</v>
      </c>
      <c r="I19" s="11" t="s">
        <v>367</v>
      </c>
      <c r="J19" s="11"/>
      <c r="K19" s="13" t="s">
        <v>369</v>
      </c>
      <c r="L19" s="1" t="s">
        <v>370</v>
      </c>
    </row>
    <row r="20" customFormat="false" ht="43.5" hidden="false" customHeight="true" outlineLevel="0" collapsed="false">
      <c r="A20" s="9" t="n">
        <v>18</v>
      </c>
      <c r="B20" s="9" t="s">
        <v>134</v>
      </c>
      <c r="C20" s="10" t="s">
        <v>73</v>
      </c>
      <c r="D20" s="10" t="s">
        <v>371</v>
      </c>
      <c r="E20" s="9" t="s">
        <v>372</v>
      </c>
      <c r="F20" s="10" t="s">
        <v>34</v>
      </c>
      <c r="G20" s="10" t="s">
        <v>373</v>
      </c>
      <c r="H20" s="11" t="s">
        <v>36</v>
      </c>
      <c r="I20" s="11" t="s">
        <v>374</v>
      </c>
      <c r="J20" s="11"/>
      <c r="K20" s="13" t="s">
        <v>375</v>
      </c>
      <c r="L20" s="1" t="s">
        <v>376</v>
      </c>
    </row>
    <row r="21" customFormat="false" ht="43.5" hidden="false" customHeight="true" outlineLevel="0" collapsed="false">
      <c r="A21" s="9" t="n">
        <v>19</v>
      </c>
      <c r="B21" s="9" t="s">
        <v>146</v>
      </c>
      <c r="C21" s="10" t="s">
        <v>73</v>
      </c>
      <c r="D21" s="10" t="s">
        <v>377</v>
      </c>
      <c r="E21" s="9" t="s">
        <v>378</v>
      </c>
      <c r="F21" s="10" t="s">
        <v>34</v>
      </c>
      <c r="G21" s="10" t="s">
        <v>149</v>
      </c>
      <c r="H21" s="11" t="s">
        <v>36</v>
      </c>
      <c r="I21" s="12" t="s">
        <v>379</v>
      </c>
      <c r="J21" s="11"/>
      <c r="K21" s="13" t="s">
        <v>380</v>
      </c>
      <c r="L21" s="1" t="s">
        <v>381</v>
      </c>
    </row>
    <row r="22" customFormat="false" ht="43.5" hidden="false" customHeight="true" outlineLevel="0" collapsed="false">
      <c r="A22" s="9" t="n">
        <v>20</v>
      </c>
      <c r="B22" s="9" t="s">
        <v>153</v>
      </c>
      <c r="C22" s="10" t="s">
        <v>154</v>
      </c>
      <c r="D22" s="10" t="s">
        <v>382</v>
      </c>
      <c r="E22" s="10" t="s">
        <v>154</v>
      </c>
      <c r="F22" s="10" t="s">
        <v>156</v>
      </c>
      <c r="G22" s="10" t="s">
        <v>383</v>
      </c>
      <c r="H22" s="11" t="s">
        <v>36</v>
      </c>
      <c r="I22" s="12" t="s">
        <v>384</v>
      </c>
      <c r="J22" s="11"/>
      <c r="K22" s="13" t="s">
        <v>385</v>
      </c>
      <c r="L22" s="1" t="s">
        <v>386</v>
      </c>
    </row>
    <row r="24" customFormat="false" ht="15" hidden="false" customHeight="true" outlineLevel="0" collapsed="false">
      <c r="A24" s="14" t="s">
        <v>161</v>
      </c>
    </row>
    <row r="25" customFormat="false" ht="15" hidden="false" customHeight="true" outlineLevel="0" collapsed="false">
      <c r="H25" s="15" t="s">
        <v>36</v>
      </c>
      <c r="I25" s="16" t="s">
        <v>162</v>
      </c>
      <c r="J25" s="15"/>
    </row>
  </sheetData>
  <autoFilter ref="A2:J22"/>
  <conditionalFormatting sqref="H3:H22">
    <cfRule type="cellIs" priority="2" operator="equal" aboveAverage="0" equalAverage="0" bottom="0" percent="0" rank="0" text="" dxfId="5">
      <formula>"OK"</formula>
    </cfRule>
    <cfRule type="cellIs" priority="3" operator="equal" aboveAverage="0" equalAverage="0" bottom="0" percent="0" rank="0" text="" dxfId="6">
      <formula>"部分"</formula>
    </cfRule>
    <cfRule type="cellIs" priority="4" operator="equal" aboveAverage="0" equalAverage="0" bottom="0" percent="0" rank="0" text="" dxfId="7">
      <formula>"NG"</formula>
    </cfRule>
  </conditionalFormatting>
  <dataValidations count="1">
    <dataValidation allowBlank="true" errorStyle="stop" operator="between" showDropDown="false" showErrorMessage="false" showInputMessage="false" sqref="H3:H22" type="list">
      <formula1>"OK,部分,NG"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14"/>
    <col collapsed="false" customWidth="true" hidden="false" outlineLevel="0" max="5" min="4" style="1" width="46"/>
    <col collapsed="false" customWidth="true" hidden="false" outlineLevel="0" max="6" min="6" style="1" width="30"/>
    <col collapsed="false" customWidth="true" hidden="false" outlineLevel="0" max="7" min="7" style="1" width="28"/>
    <col collapsed="false" customWidth="true" hidden="false" outlineLevel="0" max="8" min="8" style="1" width="8"/>
    <col collapsed="false" customWidth="true" hidden="false" outlineLevel="0" max="9" min="9" style="1" width="40"/>
    <col collapsed="false" customWidth="true" hidden="false" outlineLevel="0" max="10" min="10" style="1" width="24"/>
    <col collapsed="false" customWidth="true" hidden="false" outlineLevel="0" max="11" min="11" style="1" width="80"/>
    <col collapsed="false" customWidth="true" hidden="false" outlineLevel="0" max="12" min="12" style="1" width="10"/>
  </cols>
  <sheetData>
    <row r="1" customFormat="false" ht="18.75" hidden="false" customHeight="true" outlineLevel="0" collapsed="false">
      <c r="A1" s="4" t="s">
        <v>387</v>
      </c>
    </row>
    <row r="2" customFormat="false" ht="29.25" hidden="false" customHeight="true" outlineLevel="0" collapsed="false">
      <c r="A2" s="6" t="s">
        <v>18</v>
      </c>
      <c r="B2" s="7" t="s">
        <v>19</v>
      </c>
      <c r="C2" s="7" t="s">
        <v>20</v>
      </c>
      <c r="D2" s="7" t="s">
        <v>21</v>
      </c>
      <c r="E2" s="7" t="s">
        <v>22</v>
      </c>
      <c r="F2" s="7" t="s">
        <v>23</v>
      </c>
      <c r="G2" s="7" t="s">
        <v>24</v>
      </c>
      <c r="H2" s="7" t="s">
        <v>25</v>
      </c>
      <c r="I2" s="6" t="s">
        <v>26</v>
      </c>
      <c r="J2" s="7" t="s">
        <v>27</v>
      </c>
      <c r="K2" s="1" t="s">
        <v>28</v>
      </c>
      <c r="L2" s="8" t="s">
        <v>29</v>
      </c>
    </row>
    <row r="3" customFormat="false" ht="57.75" hidden="false" customHeight="true" outlineLevel="0" collapsed="false">
      <c r="A3" s="9" t="n">
        <v>1</v>
      </c>
      <c r="B3" s="10" t="s">
        <v>275</v>
      </c>
      <c r="C3" s="10" t="s">
        <v>73</v>
      </c>
      <c r="D3" s="10" t="s">
        <v>388</v>
      </c>
      <c r="E3" s="9" t="s">
        <v>389</v>
      </c>
      <c r="F3" s="10" t="s">
        <v>34</v>
      </c>
      <c r="G3" s="10" t="s">
        <v>390</v>
      </c>
      <c r="H3" s="11" t="s">
        <v>36</v>
      </c>
      <c r="I3" s="11" t="s">
        <v>389</v>
      </c>
      <c r="J3" s="11"/>
      <c r="K3" s="13" t="s">
        <v>391</v>
      </c>
      <c r="L3" s="1" t="s">
        <v>392</v>
      </c>
    </row>
    <row r="4" customFormat="false" ht="43.5" hidden="false" customHeight="true" outlineLevel="0" collapsed="false">
      <c r="A4" s="9" t="n">
        <v>2</v>
      </c>
      <c r="B4" s="10" t="s">
        <v>275</v>
      </c>
      <c r="C4" s="10" t="s">
        <v>73</v>
      </c>
      <c r="D4" s="10" t="s">
        <v>393</v>
      </c>
      <c r="E4" s="10" t="s">
        <v>394</v>
      </c>
      <c r="F4" s="10" t="s">
        <v>34</v>
      </c>
      <c r="G4" s="10" t="s">
        <v>395</v>
      </c>
      <c r="H4" s="12" t="s">
        <v>396</v>
      </c>
      <c r="I4" s="12" t="s">
        <v>397</v>
      </c>
      <c r="J4" s="12" t="s">
        <v>398</v>
      </c>
      <c r="K4" s="13" t="s">
        <v>399</v>
      </c>
      <c r="L4" s="1" t="s">
        <v>400</v>
      </c>
    </row>
    <row r="5" customFormat="false" ht="43.5" hidden="false" customHeight="true" outlineLevel="0" collapsed="false">
      <c r="A5" s="9" t="n">
        <v>3</v>
      </c>
      <c r="B5" s="9" t="s">
        <v>30</v>
      </c>
      <c r="C5" s="10" t="s">
        <v>111</v>
      </c>
      <c r="D5" s="9" t="s">
        <v>401</v>
      </c>
      <c r="E5" s="9" t="s">
        <v>402</v>
      </c>
      <c r="F5" s="10" t="s">
        <v>34</v>
      </c>
      <c r="G5" s="10" t="s">
        <v>403</v>
      </c>
      <c r="H5" s="11" t="s">
        <v>36</v>
      </c>
      <c r="I5" s="11" t="s">
        <v>402</v>
      </c>
      <c r="J5" s="11"/>
      <c r="K5" s="17" t="s">
        <v>404</v>
      </c>
      <c r="L5" s="1" t="s">
        <v>405</v>
      </c>
    </row>
    <row r="6" customFormat="false" ht="43.5" hidden="false" customHeight="true" outlineLevel="0" collapsed="false">
      <c r="A6" s="9" t="n">
        <v>4</v>
      </c>
      <c r="B6" s="9" t="s">
        <v>30</v>
      </c>
      <c r="C6" s="10" t="s">
        <v>111</v>
      </c>
      <c r="D6" s="10" t="s">
        <v>406</v>
      </c>
      <c r="E6" s="9" t="s">
        <v>407</v>
      </c>
      <c r="F6" s="10" t="s">
        <v>34</v>
      </c>
      <c r="G6" s="10" t="s">
        <v>408</v>
      </c>
      <c r="H6" s="11" t="s">
        <v>36</v>
      </c>
      <c r="I6" s="11" t="s">
        <v>407</v>
      </c>
      <c r="J6" s="11"/>
      <c r="K6" s="13" t="s">
        <v>409</v>
      </c>
      <c r="L6" s="1" t="s">
        <v>410</v>
      </c>
    </row>
    <row r="7" customFormat="false" ht="43.5" hidden="false" customHeight="true" outlineLevel="0" collapsed="false">
      <c r="A7" s="9" t="n">
        <v>5</v>
      </c>
      <c r="B7" s="9" t="s">
        <v>30</v>
      </c>
      <c r="C7" s="10" t="s">
        <v>98</v>
      </c>
      <c r="D7" s="10" t="s">
        <v>411</v>
      </c>
      <c r="E7" s="9" t="s">
        <v>412</v>
      </c>
      <c r="F7" s="10" t="s">
        <v>101</v>
      </c>
      <c r="G7" s="10" t="s">
        <v>413</v>
      </c>
      <c r="H7" s="11" t="s">
        <v>36</v>
      </c>
      <c r="I7" s="11" t="s">
        <v>412</v>
      </c>
      <c r="J7" s="11"/>
      <c r="K7" s="13" t="s">
        <v>414</v>
      </c>
      <c r="L7" s="1" t="s">
        <v>415</v>
      </c>
    </row>
    <row r="8" customFormat="false" ht="43.5" hidden="false" customHeight="true" outlineLevel="0" collapsed="false">
      <c r="A8" s="9" t="n">
        <v>6</v>
      </c>
      <c r="B8" s="9" t="s">
        <v>45</v>
      </c>
      <c r="C8" s="10" t="s">
        <v>111</v>
      </c>
      <c r="D8" s="10" t="s">
        <v>416</v>
      </c>
      <c r="E8" s="10" t="s">
        <v>417</v>
      </c>
      <c r="F8" s="10" t="s">
        <v>34</v>
      </c>
      <c r="G8" s="10" t="s">
        <v>418</v>
      </c>
      <c r="H8" s="11" t="s">
        <v>36</v>
      </c>
      <c r="I8" s="12" t="s">
        <v>417</v>
      </c>
      <c r="J8" s="11"/>
      <c r="K8" s="13" t="s">
        <v>419</v>
      </c>
      <c r="L8" s="1" t="s">
        <v>420</v>
      </c>
    </row>
    <row r="9" customFormat="false" ht="43.5" hidden="false" customHeight="true" outlineLevel="0" collapsed="false">
      <c r="A9" s="9" t="n">
        <v>7</v>
      </c>
      <c r="B9" s="9" t="s">
        <v>45</v>
      </c>
      <c r="C9" s="10" t="s">
        <v>111</v>
      </c>
      <c r="D9" s="10" t="s">
        <v>421</v>
      </c>
      <c r="E9" s="10" t="s">
        <v>422</v>
      </c>
      <c r="F9" s="10" t="s">
        <v>34</v>
      </c>
      <c r="G9" s="10" t="s">
        <v>423</v>
      </c>
      <c r="H9" s="11" t="s">
        <v>36</v>
      </c>
      <c r="I9" s="12" t="s">
        <v>422</v>
      </c>
      <c r="J9" s="11"/>
      <c r="K9" s="13" t="s">
        <v>424</v>
      </c>
      <c r="L9" s="1" t="s">
        <v>425</v>
      </c>
    </row>
    <row r="10" customFormat="false" ht="43.5" hidden="false" customHeight="true" outlineLevel="0" collapsed="false">
      <c r="A10" s="9" t="n">
        <v>8</v>
      </c>
      <c r="B10" s="9" t="s">
        <v>63</v>
      </c>
      <c r="C10" s="10" t="s">
        <v>64</v>
      </c>
      <c r="D10" s="9" t="s">
        <v>426</v>
      </c>
      <c r="E10" s="9" t="s">
        <v>427</v>
      </c>
      <c r="F10" s="10" t="s">
        <v>34</v>
      </c>
      <c r="G10" s="10" t="s">
        <v>428</v>
      </c>
      <c r="H10" s="11" t="s">
        <v>36</v>
      </c>
      <c r="I10" s="11" t="s">
        <v>429</v>
      </c>
      <c r="J10" s="11"/>
      <c r="K10" s="17" t="s">
        <v>430</v>
      </c>
      <c r="L10" s="1" t="s">
        <v>431</v>
      </c>
    </row>
    <row r="11" customFormat="false" ht="43.5" hidden="false" customHeight="true" outlineLevel="0" collapsed="false">
      <c r="A11" s="9" t="n">
        <v>9</v>
      </c>
      <c r="B11" s="9" t="s">
        <v>63</v>
      </c>
      <c r="C11" s="10" t="s">
        <v>64</v>
      </c>
      <c r="D11" s="9" t="s">
        <v>432</v>
      </c>
      <c r="E11" s="10" t="s">
        <v>433</v>
      </c>
      <c r="F11" s="10" t="s">
        <v>34</v>
      </c>
      <c r="G11" s="10" t="s">
        <v>434</v>
      </c>
      <c r="H11" s="11" t="s">
        <v>36</v>
      </c>
      <c r="I11" s="12" t="s">
        <v>433</v>
      </c>
      <c r="J11" s="11"/>
      <c r="K11" s="17" t="s">
        <v>435</v>
      </c>
      <c r="L11" s="1" t="s">
        <v>436</v>
      </c>
    </row>
    <row r="12" customFormat="false" ht="43.5" hidden="false" customHeight="true" outlineLevel="0" collapsed="false">
      <c r="A12" s="9" t="n">
        <v>10</v>
      </c>
      <c r="B12" s="9" t="s">
        <v>80</v>
      </c>
      <c r="C12" s="10" t="s">
        <v>111</v>
      </c>
      <c r="D12" s="10" t="s">
        <v>437</v>
      </c>
      <c r="E12" s="10" t="s">
        <v>438</v>
      </c>
      <c r="F12" s="10" t="s">
        <v>34</v>
      </c>
      <c r="G12" s="10" t="s">
        <v>439</v>
      </c>
      <c r="H12" s="11" t="s">
        <v>36</v>
      </c>
      <c r="I12" s="12" t="s">
        <v>440</v>
      </c>
      <c r="J12" s="11"/>
      <c r="K12" s="13" t="s">
        <v>441</v>
      </c>
      <c r="L12" s="1" t="s">
        <v>442</v>
      </c>
    </row>
    <row r="13" customFormat="false" ht="43.5" hidden="false" customHeight="true" outlineLevel="0" collapsed="false">
      <c r="A13" s="9" t="n">
        <v>11</v>
      </c>
      <c r="B13" s="9" t="s">
        <v>80</v>
      </c>
      <c r="C13" s="10" t="s">
        <v>111</v>
      </c>
      <c r="D13" s="10" t="s">
        <v>443</v>
      </c>
      <c r="E13" s="10" t="s">
        <v>444</v>
      </c>
      <c r="F13" s="10" t="s">
        <v>34</v>
      </c>
      <c r="G13" s="10" t="s">
        <v>445</v>
      </c>
      <c r="H13" s="11" t="s">
        <v>36</v>
      </c>
      <c r="I13" s="12" t="s">
        <v>446</v>
      </c>
      <c r="J13" s="11"/>
      <c r="K13" s="13" t="s">
        <v>447</v>
      </c>
      <c r="L13" s="1" t="s">
        <v>448</v>
      </c>
    </row>
    <row r="14" customFormat="false" ht="43.5" hidden="false" customHeight="true" outlineLevel="0" collapsed="false">
      <c r="A14" s="9" t="n">
        <v>12</v>
      </c>
      <c r="B14" s="9" t="s">
        <v>91</v>
      </c>
      <c r="C14" s="10" t="s">
        <v>92</v>
      </c>
      <c r="D14" s="10" t="s">
        <v>449</v>
      </c>
      <c r="E14" s="10" t="s">
        <v>450</v>
      </c>
      <c r="F14" s="10" t="s">
        <v>34</v>
      </c>
      <c r="G14" s="10" t="s">
        <v>451</v>
      </c>
      <c r="H14" s="11" t="s">
        <v>36</v>
      </c>
      <c r="I14" s="12" t="s">
        <v>450</v>
      </c>
      <c r="J14" s="11"/>
      <c r="K14" s="13" t="s">
        <v>452</v>
      </c>
      <c r="L14" s="1" t="s">
        <v>453</v>
      </c>
    </row>
    <row r="15" customFormat="false" ht="43.5" hidden="false" customHeight="true" outlineLevel="0" collapsed="false">
      <c r="A15" s="9" t="n">
        <v>13</v>
      </c>
      <c r="B15" s="9" t="s">
        <v>91</v>
      </c>
      <c r="C15" s="10" t="s">
        <v>92</v>
      </c>
      <c r="D15" s="10" t="s">
        <v>454</v>
      </c>
      <c r="E15" s="10" t="s">
        <v>455</v>
      </c>
      <c r="F15" s="10" t="s">
        <v>34</v>
      </c>
      <c r="G15" s="10" t="s">
        <v>451</v>
      </c>
      <c r="H15" s="11" t="s">
        <v>36</v>
      </c>
      <c r="I15" s="12" t="s">
        <v>455</v>
      </c>
      <c r="J15" s="11"/>
      <c r="K15" s="13" t="s">
        <v>456</v>
      </c>
      <c r="L15" s="1" t="s">
        <v>457</v>
      </c>
    </row>
    <row r="16" customFormat="false" ht="43.5" hidden="false" customHeight="true" outlineLevel="0" collapsed="false">
      <c r="A16" s="9" t="n">
        <v>14</v>
      </c>
      <c r="B16" s="9" t="s">
        <v>91</v>
      </c>
      <c r="C16" s="10" t="s">
        <v>92</v>
      </c>
      <c r="D16" s="10" t="s">
        <v>458</v>
      </c>
      <c r="E16" s="10" t="s">
        <v>459</v>
      </c>
      <c r="F16" s="10" t="s">
        <v>34</v>
      </c>
      <c r="G16" s="10" t="s">
        <v>95</v>
      </c>
      <c r="H16" s="11" t="s">
        <v>36</v>
      </c>
      <c r="I16" s="12" t="s">
        <v>459</v>
      </c>
      <c r="J16" s="11"/>
      <c r="K16" s="13" t="s">
        <v>460</v>
      </c>
      <c r="L16" s="1" t="s">
        <v>461</v>
      </c>
    </row>
    <row r="17" customFormat="false" ht="43.5" hidden="false" customHeight="true" outlineLevel="0" collapsed="false">
      <c r="A17" s="9" t="n">
        <v>15</v>
      </c>
      <c r="B17" s="9" t="s">
        <v>110</v>
      </c>
      <c r="C17" s="10" t="s">
        <v>98</v>
      </c>
      <c r="D17" s="10" t="s">
        <v>462</v>
      </c>
      <c r="E17" s="9" t="s">
        <v>463</v>
      </c>
      <c r="F17" s="10" t="s">
        <v>101</v>
      </c>
      <c r="G17" s="10" t="s">
        <v>464</v>
      </c>
      <c r="H17" s="11" t="s">
        <v>36</v>
      </c>
      <c r="I17" s="11" t="s">
        <v>465</v>
      </c>
      <c r="J17" s="11"/>
      <c r="K17" s="13" t="s">
        <v>466</v>
      </c>
      <c r="L17" s="1" t="s">
        <v>467</v>
      </c>
    </row>
    <row r="18" customFormat="false" ht="43.5" hidden="false" customHeight="true" outlineLevel="0" collapsed="false">
      <c r="A18" s="9" t="n">
        <v>16</v>
      </c>
      <c r="B18" s="9" t="s">
        <v>110</v>
      </c>
      <c r="C18" s="10" t="s">
        <v>111</v>
      </c>
      <c r="D18" s="10" t="s">
        <v>468</v>
      </c>
      <c r="E18" s="9" t="s">
        <v>469</v>
      </c>
      <c r="F18" s="10" t="s">
        <v>101</v>
      </c>
      <c r="G18" s="10" t="s">
        <v>470</v>
      </c>
      <c r="H18" s="11" t="s">
        <v>36</v>
      </c>
      <c r="I18" s="11" t="s">
        <v>471</v>
      </c>
      <c r="J18" s="11"/>
      <c r="K18" s="13" t="s">
        <v>472</v>
      </c>
      <c r="L18" s="1" t="s">
        <v>473</v>
      </c>
    </row>
    <row r="19" customFormat="false" ht="43.5" hidden="false" customHeight="true" outlineLevel="0" collapsed="false">
      <c r="A19" s="9" t="n">
        <v>17</v>
      </c>
      <c r="B19" s="9" t="s">
        <v>123</v>
      </c>
      <c r="C19" s="10" t="s">
        <v>64</v>
      </c>
      <c r="D19" s="10" t="s">
        <v>474</v>
      </c>
      <c r="E19" s="10" t="s">
        <v>475</v>
      </c>
      <c r="F19" s="10" t="s">
        <v>34</v>
      </c>
      <c r="G19" s="10" t="s">
        <v>476</v>
      </c>
      <c r="H19" s="11" t="s">
        <v>36</v>
      </c>
      <c r="I19" s="12" t="s">
        <v>475</v>
      </c>
      <c r="J19" s="11"/>
      <c r="K19" s="13" t="s">
        <v>477</v>
      </c>
      <c r="L19" s="1" t="s">
        <v>478</v>
      </c>
    </row>
    <row r="20" customFormat="false" ht="43.5" hidden="false" customHeight="true" outlineLevel="0" collapsed="false">
      <c r="A20" s="9" t="n">
        <v>18</v>
      </c>
      <c r="B20" s="9" t="s">
        <v>123</v>
      </c>
      <c r="C20" s="10" t="s">
        <v>64</v>
      </c>
      <c r="D20" s="10" t="s">
        <v>479</v>
      </c>
      <c r="E20" s="9" t="s">
        <v>480</v>
      </c>
      <c r="F20" s="10" t="s">
        <v>34</v>
      </c>
      <c r="G20" s="10" t="s">
        <v>476</v>
      </c>
      <c r="H20" s="11" t="s">
        <v>36</v>
      </c>
      <c r="I20" s="11" t="s">
        <v>481</v>
      </c>
      <c r="J20" s="11"/>
      <c r="K20" s="13" t="s">
        <v>482</v>
      </c>
      <c r="L20" s="1" t="s">
        <v>483</v>
      </c>
    </row>
    <row r="21" customFormat="false" ht="43.5" hidden="false" customHeight="true" outlineLevel="0" collapsed="false">
      <c r="A21" s="9" t="n">
        <v>19</v>
      </c>
      <c r="B21" s="9" t="s">
        <v>134</v>
      </c>
      <c r="C21" s="10" t="s">
        <v>111</v>
      </c>
      <c r="D21" s="10" t="s">
        <v>484</v>
      </c>
      <c r="E21" s="10" t="s">
        <v>485</v>
      </c>
      <c r="F21" s="10" t="s">
        <v>34</v>
      </c>
      <c r="G21" s="10" t="s">
        <v>486</v>
      </c>
      <c r="H21" s="11" t="s">
        <v>36</v>
      </c>
      <c r="I21" s="12" t="s">
        <v>485</v>
      </c>
      <c r="J21" s="11"/>
      <c r="K21" s="13" t="s">
        <v>487</v>
      </c>
      <c r="L21" s="1" t="s">
        <v>488</v>
      </c>
    </row>
    <row r="22" customFormat="false" ht="43.5" hidden="false" customHeight="true" outlineLevel="0" collapsed="false">
      <c r="A22" s="9" t="n">
        <v>20</v>
      </c>
      <c r="B22" s="9" t="s">
        <v>146</v>
      </c>
      <c r="C22" s="10" t="s">
        <v>73</v>
      </c>
      <c r="D22" s="10" t="s">
        <v>489</v>
      </c>
      <c r="E22" s="9" t="s">
        <v>490</v>
      </c>
      <c r="F22" s="10" t="s">
        <v>34</v>
      </c>
      <c r="G22" s="10" t="s">
        <v>149</v>
      </c>
      <c r="H22" s="11" t="s">
        <v>36</v>
      </c>
      <c r="I22" s="11" t="s">
        <v>491</v>
      </c>
      <c r="J22" s="11"/>
      <c r="K22" s="13" t="s">
        <v>492</v>
      </c>
      <c r="L22" s="1" t="s">
        <v>493</v>
      </c>
    </row>
    <row r="24" customFormat="false" ht="15" hidden="false" customHeight="true" outlineLevel="0" collapsed="false">
      <c r="A24" s="14" t="s">
        <v>161</v>
      </c>
    </row>
    <row r="25" customFormat="false" ht="15" hidden="false" customHeight="true" outlineLevel="0" collapsed="false">
      <c r="H25" s="15" t="s">
        <v>36</v>
      </c>
      <c r="I25" s="16" t="s">
        <v>162</v>
      </c>
      <c r="J25" s="15"/>
    </row>
  </sheetData>
  <autoFilter ref="A2:J22"/>
  <conditionalFormatting sqref="H3:H22">
    <cfRule type="cellIs" priority="2" operator="equal" aboveAverage="0" equalAverage="0" bottom="0" percent="0" rank="0" text="" dxfId="5">
      <formula>"OK"</formula>
    </cfRule>
    <cfRule type="cellIs" priority="3" operator="equal" aboveAverage="0" equalAverage="0" bottom="0" percent="0" rank="0" text="" dxfId="6">
      <formula>"部分"</formula>
    </cfRule>
    <cfRule type="cellIs" priority="4" operator="equal" aboveAverage="0" equalAverage="0" bottom="0" percent="0" rank="0" text="" dxfId="7">
      <formula>"NG"</formula>
    </cfRule>
  </conditionalFormatting>
  <dataValidations count="1">
    <dataValidation allowBlank="true" errorStyle="stop" operator="between" showDropDown="false" showErrorMessage="false" showInputMessage="false" sqref="H3:H22" type="list">
      <formula1>"OK,部分,NG"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14"/>
    <col collapsed="false" customWidth="true" hidden="false" outlineLevel="0" max="5" min="4" style="1" width="46"/>
    <col collapsed="false" customWidth="true" hidden="false" outlineLevel="0" max="6" min="6" style="1" width="30"/>
    <col collapsed="false" customWidth="true" hidden="false" outlineLevel="0" max="7" min="7" style="1" width="28"/>
    <col collapsed="false" customWidth="true" hidden="false" outlineLevel="0" max="8" min="8" style="1" width="8"/>
    <col collapsed="false" customWidth="true" hidden="false" outlineLevel="0" max="9" min="9" style="1" width="40"/>
    <col collapsed="false" customWidth="true" hidden="false" outlineLevel="0" max="10" min="10" style="1" width="24"/>
    <col collapsed="false" customWidth="true" hidden="false" outlineLevel="0" max="11" min="11" style="1" width="80"/>
    <col collapsed="false" customWidth="true" hidden="false" outlineLevel="0" max="12" min="12" style="1" width="10"/>
  </cols>
  <sheetData>
    <row r="1" customFormat="false" ht="18.75" hidden="false" customHeight="true" outlineLevel="0" collapsed="false">
      <c r="A1" s="4" t="s">
        <v>494</v>
      </c>
    </row>
    <row r="2" customFormat="false" ht="29.25" hidden="false" customHeight="true" outlineLevel="0" collapsed="false">
      <c r="A2" s="6" t="s">
        <v>18</v>
      </c>
      <c r="B2" s="7" t="s">
        <v>19</v>
      </c>
      <c r="C2" s="7" t="s">
        <v>20</v>
      </c>
      <c r="D2" s="7" t="s">
        <v>21</v>
      </c>
      <c r="E2" s="7" t="s">
        <v>22</v>
      </c>
      <c r="F2" s="7" t="s">
        <v>23</v>
      </c>
      <c r="G2" s="7" t="s">
        <v>24</v>
      </c>
      <c r="H2" s="7" t="s">
        <v>25</v>
      </c>
      <c r="I2" s="6" t="s">
        <v>26</v>
      </c>
      <c r="J2" s="7" t="s">
        <v>27</v>
      </c>
      <c r="K2" s="1" t="s">
        <v>28</v>
      </c>
      <c r="L2" s="8" t="s">
        <v>29</v>
      </c>
    </row>
    <row r="3" customFormat="false" ht="43.5" hidden="false" customHeight="true" outlineLevel="0" collapsed="false">
      <c r="A3" s="9" t="n">
        <v>1</v>
      </c>
      <c r="B3" s="9" t="s">
        <v>30</v>
      </c>
      <c r="C3" s="10" t="s">
        <v>46</v>
      </c>
      <c r="D3" s="10" t="s">
        <v>495</v>
      </c>
      <c r="E3" s="9" t="s">
        <v>496</v>
      </c>
      <c r="F3" s="10" t="s">
        <v>34</v>
      </c>
      <c r="G3" s="10" t="s">
        <v>497</v>
      </c>
      <c r="H3" s="11" t="s">
        <v>36</v>
      </c>
      <c r="I3" s="11" t="s">
        <v>496</v>
      </c>
      <c r="J3" s="11"/>
      <c r="K3" s="13" t="s">
        <v>498</v>
      </c>
      <c r="L3" s="1" t="s">
        <v>499</v>
      </c>
    </row>
    <row r="4" customFormat="false" ht="43.5" hidden="false" customHeight="true" outlineLevel="0" collapsed="false">
      <c r="A4" s="9" t="n">
        <v>2</v>
      </c>
      <c r="B4" s="9" t="s">
        <v>30</v>
      </c>
      <c r="C4" s="10" t="s">
        <v>98</v>
      </c>
      <c r="D4" s="10" t="s">
        <v>500</v>
      </c>
      <c r="E4" s="9" t="s">
        <v>501</v>
      </c>
      <c r="F4" s="10" t="s">
        <v>101</v>
      </c>
      <c r="G4" s="10" t="s">
        <v>502</v>
      </c>
      <c r="H4" s="11" t="s">
        <v>36</v>
      </c>
      <c r="I4" s="11" t="s">
        <v>503</v>
      </c>
      <c r="J4" s="11"/>
      <c r="K4" s="17" t="s">
        <v>504</v>
      </c>
      <c r="L4" s="1" t="s">
        <v>505</v>
      </c>
    </row>
    <row r="5" customFormat="false" ht="43.5" hidden="false" customHeight="true" outlineLevel="0" collapsed="false">
      <c r="A5" s="9" t="n">
        <v>3</v>
      </c>
      <c r="B5" s="9" t="s">
        <v>45</v>
      </c>
      <c r="C5" s="10" t="s">
        <v>46</v>
      </c>
      <c r="D5" s="10" t="s">
        <v>506</v>
      </c>
      <c r="E5" s="9" t="s">
        <v>507</v>
      </c>
      <c r="F5" s="10" t="s">
        <v>34</v>
      </c>
      <c r="G5" s="10" t="s">
        <v>508</v>
      </c>
      <c r="H5" s="11" t="s">
        <v>36</v>
      </c>
      <c r="I5" s="11" t="s">
        <v>507</v>
      </c>
      <c r="J5" s="11"/>
      <c r="K5" s="13" t="s">
        <v>509</v>
      </c>
      <c r="L5" s="1" t="s">
        <v>510</v>
      </c>
    </row>
    <row r="6" customFormat="false" ht="43.5" hidden="false" customHeight="true" outlineLevel="0" collapsed="false">
      <c r="A6" s="9" t="n">
        <v>4</v>
      </c>
      <c r="B6" s="9" t="s">
        <v>45</v>
      </c>
      <c r="C6" s="10" t="s">
        <v>98</v>
      </c>
      <c r="D6" s="10" t="s">
        <v>511</v>
      </c>
      <c r="E6" s="9" t="s">
        <v>512</v>
      </c>
      <c r="F6" s="10" t="s">
        <v>101</v>
      </c>
      <c r="G6" s="10" t="s">
        <v>513</v>
      </c>
      <c r="H6" s="11" t="s">
        <v>36</v>
      </c>
      <c r="I6" s="11" t="s">
        <v>514</v>
      </c>
      <c r="J6" s="11"/>
      <c r="K6" s="13" t="s">
        <v>515</v>
      </c>
      <c r="L6" s="1" t="s">
        <v>516</v>
      </c>
    </row>
    <row r="7" customFormat="false" ht="43.5" hidden="false" customHeight="true" outlineLevel="0" collapsed="false">
      <c r="A7" s="9" t="n">
        <v>5</v>
      </c>
      <c r="B7" s="9" t="s">
        <v>63</v>
      </c>
      <c r="C7" s="10" t="s">
        <v>31</v>
      </c>
      <c r="D7" s="10" t="s">
        <v>517</v>
      </c>
      <c r="E7" s="9" t="s">
        <v>518</v>
      </c>
      <c r="F7" s="10" t="s">
        <v>34</v>
      </c>
      <c r="G7" s="10" t="s">
        <v>519</v>
      </c>
      <c r="H7" s="11" t="s">
        <v>36</v>
      </c>
      <c r="I7" s="11" t="s">
        <v>520</v>
      </c>
      <c r="J7" s="11"/>
      <c r="K7" s="13" t="s">
        <v>521</v>
      </c>
      <c r="L7" s="1" t="s">
        <v>522</v>
      </c>
    </row>
    <row r="8" customFormat="false" ht="43.5" hidden="false" customHeight="true" outlineLevel="0" collapsed="false">
      <c r="A8" s="9" t="n">
        <v>6</v>
      </c>
      <c r="B8" s="9" t="s">
        <v>63</v>
      </c>
      <c r="C8" s="10" t="s">
        <v>31</v>
      </c>
      <c r="D8" s="9" t="s">
        <v>523</v>
      </c>
      <c r="E8" s="9" t="s">
        <v>524</v>
      </c>
      <c r="F8" s="10" t="s">
        <v>34</v>
      </c>
      <c r="G8" s="10" t="s">
        <v>525</v>
      </c>
      <c r="H8" s="11" t="s">
        <v>36</v>
      </c>
      <c r="I8" s="11" t="s">
        <v>526</v>
      </c>
      <c r="J8" s="11"/>
      <c r="K8" s="17" t="s">
        <v>527</v>
      </c>
      <c r="L8" s="1" t="s">
        <v>528</v>
      </c>
    </row>
    <row r="9" customFormat="false" ht="43.5" hidden="false" customHeight="true" outlineLevel="0" collapsed="false">
      <c r="A9" s="9" t="n">
        <v>7</v>
      </c>
      <c r="B9" s="9" t="s">
        <v>80</v>
      </c>
      <c r="C9" s="10" t="s">
        <v>111</v>
      </c>
      <c r="D9" s="9" t="s">
        <v>529</v>
      </c>
      <c r="E9" s="10" t="s">
        <v>530</v>
      </c>
      <c r="F9" s="10" t="s">
        <v>34</v>
      </c>
      <c r="G9" s="10" t="s">
        <v>531</v>
      </c>
      <c r="H9" s="11" t="s">
        <v>36</v>
      </c>
      <c r="I9" s="12" t="s">
        <v>530</v>
      </c>
      <c r="J9" s="11"/>
      <c r="K9" s="17" t="s">
        <v>532</v>
      </c>
      <c r="L9" s="1" t="s">
        <v>533</v>
      </c>
    </row>
    <row r="10" customFormat="false" ht="43.5" hidden="false" customHeight="true" outlineLevel="0" collapsed="false">
      <c r="A10" s="9" t="n">
        <v>8</v>
      </c>
      <c r="B10" s="9" t="s">
        <v>80</v>
      </c>
      <c r="C10" s="10" t="s">
        <v>111</v>
      </c>
      <c r="D10" s="9" t="s">
        <v>534</v>
      </c>
      <c r="E10" s="10" t="s">
        <v>535</v>
      </c>
      <c r="F10" s="10" t="s">
        <v>34</v>
      </c>
      <c r="G10" s="10" t="s">
        <v>536</v>
      </c>
      <c r="H10" s="11" t="s">
        <v>36</v>
      </c>
      <c r="I10" s="12" t="s">
        <v>535</v>
      </c>
      <c r="J10" s="11"/>
      <c r="K10" s="17" t="s">
        <v>537</v>
      </c>
      <c r="L10" s="1" t="s">
        <v>538</v>
      </c>
    </row>
    <row r="11" customFormat="false" ht="43.5" hidden="false" customHeight="true" outlineLevel="0" collapsed="false">
      <c r="A11" s="9" t="n">
        <v>9</v>
      </c>
      <c r="B11" s="9" t="s">
        <v>80</v>
      </c>
      <c r="C11" s="10" t="s">
        <v>111</v>
      </c>
      <c r="D11" s="10" t="s">
        <v>539</v>
      </c>
      <c r="E11" s="10" t="s">
        <v>540</v>
      </c>
      <c r="F11" s="10" t="s">
        <v>34</v>
      </c>
      <c r="G11" s="10" t="s">
        <v>541</v>
      </c>
      <c r="H11" s="11" t="s">
        <v>36</v>
      </c>
      <c r="I11" s="12" t="s">
        <v>540</v>
      </c>
      <c r="J11" s="11"/>
      <c r="K11" s="13" t="s">
        <v>542</v>
      </c>
      <c r="L11" s="1" t="s">
        <v>543</v>
      </c>
    </row>
    <row r="12" customFormat="false" ht="43.5" hidden="false" customHeight="true" outlineLevel="0" collapsed="false">
      <c r="A12" s="9" t="n">
        <v>10</v>
      </c>
      <c r="B12" s="9" t="s">
        <v>91</v>
      </c>
      <c r="C12" s="10" t="s">
        <v>111</v>
      </c>
      <c r="D12" s="10" t="s">
        <v>544</v>
      </c>
      <c r="E12" s="10" t="s">
        <v>545</v>
      </c>
      <c r="F12" s="10" t="s">
        <v>34</v>
      </c>
      <c r="G12" s="10" t="s">
        <v>546</v>
      </c>
      <c r="H12" s="11" t="s">
        <v>36</v>
      </c>
      <c r="I12" s="12" t="s">
        <v>545</v>
      </c>
      <c r="J12" s="11"/>
      <c r="K12" s="13" t="s">
        <v>547</v>
      </c>
      <c r="L12" s="1" t="s">
        <v>548</v>
      </c>
    </row>
    <row r="13" customFormat="false" ht="43.5" hidden="false" customHeight="true" outlineLevel="0" collapsed="false">
      <c r="A13" s="9" t="n">
        <v>11</v>
      </c>
      <c r="B13" s="9" t="s">
        <v>91</v>
      </c>
      <c r="C13" s="10" t="s">
        <v>111</v>
      </c>
      <c r="D13" s="10" t="s">
        <v>549</v>
      </c>
      <c r="E13" s="9" t="s">
        <v>550</v>
      </c>
      <c r="F13" s="10" t="s">
        <v>34</v>
      </c>
      <c r="G13" s="10" t="s">
        <v>551</v>
      </c>
      <c r="H13" s="11" t="s">
        <v>36</v>
      </c>
      <c r="I13" s="11" t="s">
        <v>550</v>
      </c>
      <c r="J13" s="11"/>
      <c r="K13" s="13" t="s">
        <v>552</v>
      </c>
      <c r="L13" s="1" t="s">
        <v>553</v>
      </c>
    </row>
    <row r="14" customFormat="false" ht="43.5" hidden="false" customHeight="true" outlineLevel="0" collapsed="false">
      <c r="A14" s="9" t="n">
        <v>12</v>
      </c>
      <c r="B14" s="9" t="s">
        <v>110</v>
      </c>
      <c r="C14" s="10" t="s">
        <v>111</v>
      </c>
      <c r="D14" s="10" t="s">
        <v>554</v>
      </c>
      <c r="E14" s="10" t="s">
        <v>555</v>
      </c>
      <c r="F14" s="10" t="s">
        <v>34</v>
      </c>
      <c r="G14" s="10" t="s">
        <v>556</v>
      </c>
      <c r="H14" s="11" t="s">
        <v>36</v>
      </c>
      <c r="I14" s="12" t="s">
        <v>555</v>
      </c>
      <c r="J14" s="11"/>
      <c r="K14" s="13" t="s">
        <v>557</v>
      </c>
      <c r="L14" s="1" t="s">
        <v>558</v>
      </c>
    </row>
    <row r="15" customFormat="false" ht="43.5" hidden="false" customHeight="true" outlineLevel="0" collapsed="false">
      <c r="A15" s="9" t="n">
        <v>13</v>
      </c>
      <c r="B15" s="9" t="s">
        <v>110</v>
      </c>
      <c r="C15" s="10" t="s">
        <v>111</v>
      </c>
      <c r="D15" s="10" t="s">
        <v>559</v>
      </c>
      <c r="E15" s="10" t="s">
        <v>560</v>
      </c>
      <c r="F15" s="10" t="s">
        <v>34</v>
      </c>
      <c r="G15" s="10" t="s">
        <v>561</v>
      </c>
      <c r="H15" s="11" t="s">
        <v>36</v>
      </c>
      <c r="I15" s="12" t="s">
        <v>562</v>
      </c>
      <c r="J15" s="11"/>
      <c r="K15" s="13" t="s">
        <v>563</v>
      </c>
      <c r="L15" s="1" t="s">
        <v>564</v>
      </c>
    </row>
    <row r="16" customFormat="false" ht="43.5" hidden="false" customHeight="true" outlineLevel="0" collapsed="false">
      <c r="A16" s="9" t="n">
        <v>14</v>
      </c>
      <c r="B16" s="9" t="s">
        <v>123</v>
      </c>
      <c r="C16" s="10" t="s">
        <v>64</v>
      </c>
      <c r="D16" s="10" t="s">
        <v>565</v>
      </c>
      <c r="E16" s="10" t="s">
        <v>566</v>
      </c>
      <c r="F16" s="10" t="s">
        <v>34</v>
      </c>
      <c r="G16" s="10" t="s">
        <v>567</v>
      </c>
      <c r="H16" s="11" t="s">
        <v>36</v>
      </c>
      <c r="I16" s="12" t="s">
        <v>566</v>
      </c>
      <c r="J16" s="11"/>
      <c r="K16" s="13" t="s">
        <v>568</v>
      </c>
      <c r="L16" s="1" t="s">
        <v>569</v>
      </c>
    </row>
    <row r="17" customFormat="false" ht="43.5" hidden="false" customHeight="true" outlineLevel="0" collapsed="false">
      <c r="A17" s="9" t="n">
        <v>15</v>
      </c>
      <c r="B17" s="9" t="s">
        <v>123</v>
      </c>
      <c r="C17" s="10" t="s">
        <v>64</v>
      </c>
      <c r="D17" s="10" t="s">
        <v>570</v>
      </c>
      <c r="E17" s="10" t="s">
        <v>571</v>
      </c>
      <c r="F17" s="10" t="s">
        <v>34</v>
      </c>
      <c r="G17" s="10" t="s">
        <v>572</v>
      </c>
      <c r="H17" s="11" t="s">
        <v>36</v>
      </c>
      <c r="I17" s="12" t="s">
        <v>571</v>
      </c>
      <c r="J17" s="11"/>
      <c r="K17" s="13" t="s">
        <v>573</v>
      </c>
      <c r="L17" s="1" t="s">
        <v>574</v>
      </c>
    </row>
    <row r="18" customFormat="false" ht="43.5" hidden="false" customHeight="true" outlineLevel="0" collapsed="false">
      <c r="A18" s="9" t="n">
        <v>16</v>
      </c>
      <c r="B18" s="9" t="s">
        <v>134</v>
      </c>
      <c r="C18" s="10" t="s">
        <v>92</v>
      </c>
      <c r="D18" s="10" t="s">
        <v>575</v>
      </c>
      <c r="E18" s="9" t="s">
        <v>576</v>
      </c>
      <c r="F18" s="10" t="s">
        <v>34</v>
      </c>
      <c r="G18" s="10" t="s">
        <v>577</v>
      </c>
      <c r="H18" s="11" t="s">
        <v>36</v>
      </c>
      <c r="I18" s="11" t="s">
        <v>576</v>
      </c>
      <c r="J18" s="11"/>
      <c r="K18" s="13" t="s">
        <v>578</v>
      </c>
      <c r="L18" s="1" t="s">
        <v>579</v>
      </c>
    </row>
    <row r="19" customFormat="false" ht="43.5" hidden="false" customHeight="true" outlineLevel="0" collapsed="false">
      <c r="A19" s="9" t="n">
        <v>17</v>
      </c>
      <c r="B19" s="9" t="s">
        <v>134</v>
      </c>
      <c r="C19" s="10" t="s">
        <v>31</v>
      </c>
      <c r="D19" s="10" t="s">
        <v>580</v>
      </c>
      <c r="E19" s="9" t="s">
        <v>581</v>
      </c>
      <c r="F19" s="10" t="s">
        <v>34</v>
      </c>
      <c r="G19" s="10" t="s">
        <v>582</v>
      </c>
      <c r="H19" s="11" t="s">
        <v>36</v>
      </c>
      <c r="I19" s="11" t="s">
        <v>581</v>
      </c>
      <c r="J19" s="11"/>
      <c r="K19" s="13" t="s">
        <v>583</v>
      </c>
      <c r="L19" s="1" t="s">
        <v>584</v>
      </c>
    </row>
    <row r="20" customFormat="false" ht="43.5" hidden="false" customHeight="true" outlineLevel="0" collapsed="false">
      <c r="A20" s="9" t="n">
        <v>18</v>
      </c>
      <c r="B20" s="9" t="s">
        <v>146</v>
      </c>
      <c r="C20" s="10" t="s">
        <v>46</v>
      </c>
      <c r="D20" s="9" t="s">
        <v>585</v>
      </c>
      <c r="E20" s="9" t="s">
        <v>586</v>
      </c>
      <c r="F20" s="10" t="s">
        <v>101</v>
      </c>
      <c r="G20" s="10" t="s">
        <v>587</v>
      </c>
      <c r="H20" s="11" t="s">
        <v>36</v>
      </c>
      <c r="I20" s="11" t="s">
        <v>588</v>
      </c>
      <c r="J20" s="11"/>
      <c r="K20" s="17" t="s">
        <v>589</v>
      </c>
      <c r="L20" s="1" t="s">
        <v>590</v>
      </c>
    </row>
    <row r="21" customFormat="false" ht="43.5" hidden="false" customHeight="true" outlineLevel="0" collapsed="false">
      <c r="A21" s="9" t="n">
        <v>19</v>
      </c>
      <c r="B21" s="9" t="s">
        <v>146</v>
      </c>
      <c r="C21" s="10" t="s">
        <v>73</v>
      </c>
      <c r="D21" s="9" t="s">
        <v>591</v>
      </c>
      <c r="E21" s="10" t="s">
        <v>592</v>
      </c>
      <c r="F21" s="10" t="s">
        <v>34</v>
      </c>
      <c r="G21" s="10" t="s">
        <v>149</v>
      </c>
      <c r="H21" s="11" t="s">
        <v>36</v>
      </c>
      <c r="I21" s="12" t="s">
        <v>593</v>
      </c>
      <c r="J21" s="11"/>
      <c r="K21" s="17" t="s">
        <v>594</v>
      </c>
      <c r="L21" s="1" t="s">
        <v>595</v>
      </c>
    </row>
    <row r="22" customFormat="false" ht="43.5" hidden="false" customHeight="true" outlineLevel="0" collapsed="false">
      <c r="A22" s="9" t="n">
        <v>20</v>
      </c>
      <c r="B22" s="9" t="s">
        <v>153</v>
      </c>
      <c r="C22" s="10" t="s">
        <v>154</v>
      </c>
      <c r="D22" s="10" t="s">
        <v>596</v>
      </c>
      <c r="E22" s="10" t="s">
        <v>154</v>
      </c>
      <c r="F22" s="10" t="s">
        <v>156</v>
      </c>
      <c r="G22" s="10" t="s">
        <v>597</v>
      </c>
      <c r="H22" s="11" t="s">
        <v>36</v>
      </c>
      <c r="I22" s="12" t="s">
        <v>154</v>
      </c>
      <c r="J22" s="11"/>
      <c r="K22" s="13" t="s">
        <v>598</v>
      </c>
      <c r="L22" s="1" t="s">
        <v>599</v>
      </c>
    </row>
    <row r="24" customFormat="false" ht="15" hidden="false" customHeight="true" outlineLevel="0" collapsed="false">
      <c r="A24" s="14" t="s">
        <v>161</v>
      </c>
    </row>
    <row r="25" customFormat="false" ht="15" hidden="false" customHeight="true" outlineLevel="0" collapsed="false">
      <c r="H25" s="15" t="s">
        <v>36</v>
      </c>
      <c r="I25" s="16" t="s">
        <v>162</v>
      </c>
      <c r="J25" s="15"/>
    </row>
  </sheetData>
  <autoFilter ref="A2:J22"/>
  <conditionalFormatting sqref="H3:H22">
    <cfRule type="cellIs" priority="2" operator="equal" aboveAverage="0" equalAverage="0" bottom="0" percent="0" rank="0" text="" dxfId="5">
      <formula>"OK"</formula>
    </cfRule>
    <cfRule type="cellIs" priority="3" operator="equal" aboveAverage="0" equalAverage="0" bottom="0" percent="0" rank="0" text="" dxfId="6">
      <formula>"部分"</formula>
    </cfRule>
    <cfRule type="cellIs" priority="4" operator="equal" aboveAverage="0" equalAverage="0" bottom="0" percent="0" rank="0" text="" dxfId="7">
      <formula>"NG"</formula>
    </cfRule>
  </conditionalFormatting>
  <dataValidations count="1">
    <dataValidation allowBlank="true" errorStyle="stop" operator="between" showDropDown="false" showErrorMessage="false" showInputMessage="false" sqref="H3:H22" type="list">
      <formula1>"OK,部分,NG"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8"/>
    <col collapsed="false" customWidth="true" hidden="false" outlineLevel="0" max="7" min="7" style="1" width="10"/>
  </cols>
  <sheetData>
    <row r="1" customFormat="false" ht="17.25" hidden="false" customHeight="true" outlineLevel="0" collapsed="false">
      <c r="A1" s="18" t="s">
        <v>600</v>
      </c>
    </row>
    <row r="2" customFormat="false" ht="15" hidden="false" customHeight="true" outlineLevel="0" collapsed="false">
      <c r="A2" s="19" t="s">
        <v>601</v>
      </c>
      <c r="B2" s="20" t="s">
        <v>602</v>
      </c>
      <c r="C2" s="20"/>
      <c r="D2" s="20"/>
      <c r="E2" s="20"/>
      <c r="F2" s="20"/>
    </row>
    <row r="3" customFormat="false" ht="15" hidden="false" customHeight="true" outlineLevel="0" collapsed="false">
      <c r="A3" s="19" t="s">
        <v>603</v>
      </c>
      <c r="B3" s="21" t="s">
        <v>604</v>
      </c>
      <c r="C3" s="21"/>
      <c r="D3" s="21"/>
      <c r="E3" s="21"/>
      <c r="F3" s="21"/>
    </row>
    <row r="4" customFormat="false" ht="15" hidden="false" customHeight="true" outlineLevel="0" collapsed="false">
      <c r="A4" s="22" t="s">
        <v>605</v>
      </c>
    </row>
    <row r="6" customFormat="false" ht="15" hidden="false" customHeight="true" outlineLevel="0" collapsed="false">
      <c r="A6" s="7" t="s">
        <v>606</v>
      </c>
      <c r="B6" s="7" t="s">
        <v>607</v>
      </c>
      <c r="C6" s="6" t="s">
        <v>36</v>
      </c>
      <c r="D6" s="7" t="s">
        <v>608</v>
      </c>
      <c r="E6" s="6" t="s">
        <v>396</v>
      </c>
      <c r="F6" s="7" t="s">
        <v>609</v>
      </c>
      <c r="G6" s="7" t="s">
        <v>610</v>
      </c>
    </row>
    <row r="7" customFormat="false" ht="15" hidden="false" customHeight="true" outlineLevel="0" collapsed="false">
      <c r="A7" s="23" t="s">
        <v>611</v>
      </c>
      <c r="B7" s="23" t="n">
        <v>20</v>
      </c>
      <c r="C7" s="23" t="n">
        <f aca="false">COUNTIF(06_新規出店計画!$H$3:$H$22,"OK")</f>
        <v>20</v>
      </c>
      <c r="D7" s="23" t="n">
        <f aca="false">COUNTIF(06_新規出店計画!$H$3:$H$22,"部分")</f>
        <v>0</v>
      </c>
      <c r="E7" s="23" t="n">
        <f aca="false">COUNTIF(06_新規出店計画!$H$3:$H$22,"NG")</f>
        <v>0</v>
      </c>
      <c r="F7" s="23" t="n">
        <f aca="false">B7-SUM(C7:E7)</f>
        <v>0</v>
      </c>
      <c r="G7" s="24" t="n">
        <f aca="false">IF(SUM(C7:E7)=0,"-",(C7+0.5*D7)/SUM(C7:E7))</f>
        <v>1</v>
      </c>
    </row>
    <row r="8" customFormat="false" ht="15" hidden="false" customHeight="true" outlineLevel="0" collapsed="false">
      <c r="A8" s="23" t="s">
        <v>612</v>
      </c>
      <c r="B8" s="23" t="n">
        <v>20</v>
      </c>
      <c r="C8" s="23" t="n">
        <f aca="false">COUNTIF(07_品質改善報告!$H$3:$H$22,"OK")</f>
        <v>20</v>
      </c>
      <c r="D8" s="23" t="n">
        <f aca="false">COUNTIF(07_品質改善報告!$H$3:$H$22,"部分")</f>
        <v>0</v>
      </c>
      <c r="E8" s="23" t="n">
        <f aca="false">COUNTIF(07_品質改善報告!$H$3:$H$22,"NG")</f>
        <v>0</v>
      </c>
      <c r="F8" s="23" t="n">
        <f aca="false">B8-SUM(C8:E8)</f>
        <v>0</v>
      </c>
      <c r="G8" s="24" t="n">
        <f aca="false">IF(SUM(C8:E8)=0,"-",(C8+0.5*D8)/SUM(C8:E8))</f>
        <v>1</v>
      </c>
    </row>
    <row r="9" customFormat="false" ht="15" hidden="false" customHeight="true" outlineLevel="0" collapsed="false">
      <c r="A9" s="23" t="s">
        <v>613</v>
      </c>
      <c r="B9" s="23" t="n">
        <v>20</v>
      </c>
      <c r="C9" s="23" t="n">
        <f aca="false">COUNTIF(08_デジタル広告!$H$3:$H$22,"OK")</f>
        <v>20</v>
      </c>
      <c r="D9" s="23" t="n">
        <f aca="false">COUNTIF(08_デジタル広告!$H$3:$H$22,"部分")</f>
        <v>0</v>
      </c>
      <c r="E9" s="23" t="n">
        <f aca="false">COUNTIF(08_デジタル広告!$H$3:$H$22,"NG")</f>
        <v>0</v>
      </c>
      <c r="F9" s="23" t="n">
        <f aca="false">B9-SUM(C9:E9)</f>
        <v>0</v>
      </c>
      <c r="G9" s="24" t="n">
        <f aca="false">IF(SUM(C9:E9)=0,"-",(C9+0.5*D9)/SUM(C9:E9))</f>
        <v>1</v>
      </c>
    </row>
    <row r="10" customFormat="false" ht="15" hidden="false" customHeight="true" outlineLevel="0" collapsed="false">
      <c r="A10" s="23" t="s">
        <v>614</v>
      </c>
      <c r="B10" s="23" t="n">
        <v>20</v>
      </c>
      <c r="C10" s="23" t="n">
        <f aca="false">COUNTIF(09_組織再編案!$H$3:$H$22,"OK")</f>
        <v>19</v>
      </c>
      <c r="D10" s="23" t="n">
        <f aca="false">COUNTIF(09_組織再編案!$H$3:$H$22,"部分")</f>
        <v>0</v>
      </c>
      <c r="E10" s="23" t="n">
        <f aca="false">COUNTIF(09_組織再編案!$H$3:$H$22,"NG")</f>
        <v>1</v>
      </c>
      <c r="F10" s="23" t="n">
        <f aca="false">B10-SUM(C10:E10)</f>
        <v>0</v>
      </c>
      <c r="G10" s="24" t="n">
        <f aca="false">IF(SUM(C10:E10)=0,"-",(C10+0.5*D10)/SUM(C10:E10))</f>
        <v>0.95</v>
      </c>
    </row>
    <row r="11" customFormat="false" ht="15" hidden="false" customHeight="true" outlineLevel="0" collapsed="false">
      <c r="A11" s="23" t="s">
        <v>615</v>
      </c>
      <c r="B11" s="23" t="n">
        <v>20</v>
      </c>
      <c r="C11" s="23" t="n">
        <f aca="false">COUNTIF(10_技術ロードマップ!$H$3:$H$22,"OK")</f>
        <v>20</v>
      </c>
      <c r="D11" s="23" t="n">
        <f aca="false">COUNTIF(10_技術ロードマップ!$H$3:$H$22,"部分")</f>
        <v>0</v>
      </c>
      <c r="E11" s="23" t="n">
        <f aca="false">COUNTIF(10_技術ロードマップ!$H$3:$H$22,"NG")</f>
        <v>0</v>
      </c>
      <c r="F11" s="23" t="n">
        <f aca="false">B11-SUM(C11:E11)</f>
        <v>0</v>
      </c>
      <c r="G11" s="24" t="n">
        <f aca="false">IF(SUM(C11:E11)=0,"-",(C11+0.5*D11)/SUM(C11:E11))</f>
        <v>1</v>
      </c>
    </row>
    <row r="12" customFormat="false" ht="15" hidden="false" customHeight="true" outlineLevel="0" collapsed="false">
      <c r="A12" s="19" t="s">
        <v>616</v>
      </c>
      <c r="B12" s="25" t="n">
        <f aca="false">SUM(B7:B11)</f>
        <v>100</v>
      </c>
      <c r="C12" s="25" t="n">
        <f aca="false">SUM(C7:C11)</f>
        <v>99</v>
      </c>
      <c r="D12" s="25" t="n">
        <f aca="false">SUM(D7:D11)</f>
        <v>0</v>
      </c>
      <c r="E12" s="25" t="n">
        <f aca="false">SUM(E7:E11)</f>
        <v>1</v>
      </c>
      <c r="F12" s="25" t="n">
        <f aca="false">SUM(F7:F11)</f>
        <v>0</v>
      </c>
      <c r="G12" s="26" t="n">
        <f aca="false">IF(SUM(C12:E12)=0,"-",(C12+0.5*D12)/SUM(C12:E12))</f>
        <v>0.99</v>
      </c>
    </row>
    <row r="14" customFormat="false" ht="15" hidden="false" customHeight="true" outlineLevel="0" collapsed="false">
      <c r="A14" s="4" t="s">
        <v>617</v>
      </c>
    </row>
    <row r="15" customFormat="false" ht="15" hidden="false" customHeight="true" outlineLevel="0" collapsed="false">
      <c r="A15" s="7" t="s">
        <v>20</v>
      </c>
      <c r="B15" s="7" t="s">
        <v>607</v>
      </c>
      <c r="C15" s="6" t="s">
        <v>36</v>
      </c>
      <c r="D15" s="7" t="s">
        <v>608</v>
      </c>
      <c r="E15" s="6" t="s">
        <v>396</v>
      </c>
      <c r="F15" s="7" t="s">
        <v>609</v>
      </c>
      <c r="G15" s="7" t="s">
        <v>610</v>
      </c>
    </row>
    <row r="16" customFormat="false" ht="15" hidden="false" customHeight="true" outlineLevel="0" collapsed="false">
      <c r="A16" s="27" t="s">
        <v>31</v>
      </c>
      <c r="B16" s="23" t="n">
        <f aca="false">COUNTIF(06_新規出店計画!$C$3:$C$22,$A16)+COUNTIF(07_品質改善報告!$C$3:$C$22,$A16)+COUNTIF(08_デジタル広告!$C$3:$C$22,$A16)+COUNTIF(09_組織再編案!$C$3:$C$22,$A16)+COUNTIF(10_技術ロードマップ!$C$3:$C$22,$A16)</f>
        <v>13</v>
      </c>
      <c r="C16" s="23" t="n">
        <f aca="false">COUNTIFS(06_新規出店計画!$C$3:$C$22,$A16,06_新規出店計画!$H$3:$H$22,"OK")+COUNTIFS(07_品質改善報告!$C$3:$C$22,$A16,07_品質改善報告!$H$3:$H$22,"OK")+COUNTIFS(08_デジタル広告!$C$3:$C$22,$A16,08_デジタル広告!$H$3:$H$22,"OK")+COUNTIFS(09_組織再編案!$C$3:$C$22,$A16,09_組織再編案!$H$3:$H$22,"OK")+COUNTIFS(10_技術ロードマップ!$C$3:$C$22,$A16,10_技術ロードマップ!$H$3:$H$22,"OK")</f>
        <v>13</v>
      </c>
      <c r="D16" s="23" t="n">
        <f aca="false">COUNTIFS(06_新規出店計画!$C$3:$C$22,$A16,06_新規出店計画!$H$3:$H$22,"部分")+COUNTIFS(07_品質改善報告!$C$3:$C$22,$A16,07_品質改善報告!$H$3:$H$22,"部分")+COUNTIFS(08_デジタル広告!$C$3:$C$22,$A16,08_デジタル広告!$H$3:$H$22,"部分")+COUNTIFS(09_組織再編案!$C$3:$C$22,$A16,09_組織再編案!$H$3:$H$22,"部分")+COUNTIFS(10_技術ロードマップ!$C$3:$C$22,$A16,10_技術ロードマップ!$H$3:$H$22,"部分")</f>
        <v>0</v>
      </c>
      <c r="E16" s="23" t="n">
        <f aca="false">COUNTIFS(06_新規出店計画!$C$3:$C$22,$A16,06_新規出店計画!$H$3:$H$22,"NG")+COUNTIFS(07_品質改善報告!$C$3:$C$22,$A16,07_品質改善報告!$H$3:$H$22,"NG")+COUNTIFS(08_デジタル広告!$C$3:$C$22,$A16,08_デジタル広告!$H$3:$H$22,"NG")+COUNTIFS(09_組織再編案!$C$3:$C$22,$A16,09_組織再編案!$H$3:$H$22,"NG")+COUNTIFS(10_技術ロードマップ!$C$3:$C$22,$A16,10_技術ロードマップ!$H$3:$H$22,"NG")</f>
        <v>0</v>
      </c>
      <c r="F16" s="23" t="n">
        <f aca="false">B16-SUM(C16:E16)</f>
        <v>0</v>
      </c>
      <c r="G16" s="24" t="n">
        <f aca="false">IF(SUM(C16:E16)=0,"-",(C16+0.5*D16)/SUM(C16:E16))</f>
        <v>1</v>
      </c>
    </row>
    <row r="17" customFormat="false" ht="15" hidden="false" customHeight="true" outlineLevel="0" collapsed="false">
      <c r="A17" s="27" t="s">
        <v>46</v>
      </c>
      <c r="B17" s="23" t="n">
        <f aca="false">COUNTIF(06_新規出店計画!$C$3:$C$22,$A17)+COUNTIF(07_品質改善報告!$C$3:$C$22,$A17)+COUNTIF(08_デジタル広告!$C$3:$C$22,$A17)+COUNTIF(09_組織再編案!$C$3:$C$22,$A17)+COUNTIF(10_技術ロードマップ!$C$3:$C$22,$A17)</f>
        <v>15</v>
      </c>
      <c r="C17" s="23" t="n">
        <f aca="false">COUNTIFS(06_新規出店計画!$C$3:$C$22,$A17,06_新規出店計画!$H$3:$H$22,"OK")+COUNTIFS(07_品質改善報告!$C$3:$C$22,$A17,07_品質改善報告!$H$3:$H$22,"OK")+COUNTIFS(08_デジタル広告!$C$3:$C$22,$A17,08_デジタル広告!$H$3:$H$22,"OK")+COUNTIFS(09_組織再編案!$C$3:$C$22,$A17,09_組織再編案!$H$3:$H$22,"OK")+COUNTIFS(10_技術ロードマップ!$C$3:$C$22,$A17,10_技術ロードマップ!$H$3:$H$22,"OK")</f>
        <v>15</v>
      </c>
      <c r="D17" s="23" t="n">
        <f aca="false">COUNTIFS(06_新規出店計画!$C$3:$C$22,$A17,06_新規出店計画!$H$3:$H$22,"部分")+COUNTIFS(07_品質改善報告!$C$3:$C$22,$A17,07_品質改善報告!$H$3:$H$22,"部分")+COUNTIFS(08_デジタル広告!$C$3:$C$22,$A17,08_デジタル広告!$H$3:$H$22,"部分")+COUNTIFS(09_組織再編案!$C$3:$C$22,$A17,09_組織再編案!$H$3:$H$22,"部分")+COUNTIFS(10_技術ロードマップ!$C$3:$C$22,$A17,10_技術ロードマップ!$H$3:$H$22,"部分")</f>
        <v>0</v>
      </c>
      <c r="E17" s="23" t="n">
        <f aca="false">COUNTIFS(06_新規出店計画!$C$3:$C$22,$A17,06_新規出店計画!$H$3:$H$22,"NG")+COUNTIFS(07_品質改善報告!$C$3:$C$22,$A17,07_品質改善報告!$H$3:$H$22,"NG")+COUNTIFS(08_デジタル広告!$C$3:$C$22,$A17,08_デジタル広告!$H$3:$H$22,"NG")+COUNTIFS(09_組織再編案!$C$3:$C$22,$A17,09_組織再編案!$H$3:$H$22,"NG")+COUNTIFS(10_技術ロードマップ!$C$3:$C$22,$A17,10_技術ロードマップ!$H$3:$H$22,"NG")</f>
        <v>0</v>
      </c>
      <c r="F17" s="23" t="n">
        <f aca="false">B17-SUM(C17:E17)</f>
        <v>0</v>
      </c>
      <c r="G17" s="24" t="n">
        <f aca="false">IF(SUM(C17:E17)=0,"-",(C17+0.5*D17)/SUM(C17:E17))</f>
        <v>1</v>
      </c>
    </row>
    <row r="18" customFormat="false" ht="15" hidden="false" customHeight="true" outlineLevel="0" collapsed="false">
      <c r="A18" s="27" t="s">
        <v>64</v>
      </c>
      <c r="B18" s="23" t="n">
        <f aca="false">COUNTIF(06_新規出店計画!$C$3:$C$22,$A18)+COUNTIF(07_品質改善報告!$C$3:$C$22,$A18)+COUNTIF(08_デジタル広告!$C$3:$C$22,$A18)+COUNTIF(09_組織再編案!$C$3:$C$22,$A18)+COUNTIF(10_技術ロードマップ!$C$3:$C$22,$A18)</f>
        <v>16</v>
      </c>
      <c r="C18" s="23" t="n">
        <f aca="false">COUNTIFS(06_新規出店計画!$C$3:$C$22,$A18,06_新規出店計画!$H$3:$H$22,"OK")+COUNTIFS(07_品質改善報告!$C$3:$C$22,$A18,07_品質改善報告!$H$3:$H$22,"OK")+COUNTIFS(08_デジタル広告!$C$3:$C$22,$A18,08_デジタル広告!$H$3:$H$22,"OK")+COUNTIFS(09_組織再編案!$C$3:$C$22,$A18,09_組織再編案!$H$3:$H$22,"OK")+COUNTIFS(10_技術ロードマップ!$C$3:$C$22,$A18,10_技術ロードマップ!$H$3:$H$22,"OK")</f>
        <v>16</v>
      </c>
      <c r="D18" s="23" t="n">
        <f aca="false">COUNTIFS(06_新規出店計画!$C$3:$C$22,$A18,06_新規出店計画!$H$3:$H$22,"部分")+COUNTIFS(07_品質改善報告!$C$3:$C$22,$A18,07_品質改善報告!$H$3:$H$22,"部分")+COUNTIFS(08_デジタル広告!$C$3:$C$22,$A18,08_デジタル広告!$H$3:$H$22,"部分")+COUNTIFS(09_組織再編案!$C$3:$C$22,$A18,09_組織再編案!$H$3:$H$22,"部分")+COUNTIFS(10_技術ロードマップ!$C$3:$C$22,$A18,10_技術ロードマップ!$H$3:$H$22,"部分")</f>
        <v>0</v>
      </c>
      <c r="E18" s="23" t="n">
        <f aca="false">COUNTIFS(06_新規出店計画!$C$3:$C$22,$A18,06_新規出店計画!$H$3:$H$22,"NG")+COUNTIFS(07_品質改善報告!$C$3:$C$22,$A18,07_品質改善報告!$H$3:$H$22,"NG")+COUNTIFS(08_デジタル広告!$C$3:$C$22,$A18,08_デジタル広告!$H$3:$H$22,"NG")+COUNTIFS(09_組織再編案!$C$3:$C$22,$A18,09_組織再編案!$H$3:$H$22,"NG")+COUNTIFS(10_技術ロードマップ!$C$3:$C$22,$A18,10_技術ロードマップ!$H$3:$H$22,"NG")</f>
        <v>0</v>
      </c>
      <c r="F18" s="23" t="n">
        <f aca="false">B18-SUM(C18:E18)</f>
        <v>0</v>
      </c>
      <c r="G18" s="24" t="n">
        <f aca="false">IF(SUM(C18:E18)=0,"-",(C18+0.5*D18)/SUM(C18:E18))</f>
        <v>1</v>
      </c>
    </row>
    <row r="19" customFormat="false" ht="15" hidden="false" customHeight="true" outlineLevel="0" collapsed="false">
      <c r="A19" s="27" t="s">
        <v>73</v>
      </c>
      <c r="B19" s="23" t="n">
        <f aca="false">COUNTIF(06_新規出店計画!$C$3:$C$22,$A19)+COUNTIF(07_品質改善報告!$C$3:$C$22,$A19)+COUNTIF(08_デジタル広告!$C$3:$C$22,$A19)+COUNTIF(09_組織再編案!$C$3:$C$22,$A19)+COUNTIF(10_技術ロードマップ!$C$3:$C$22,$A19)</f>
        <v>11</v>
      </c>
      <c r="C19" s="23" t="n">
        <f aca="false">COUNTIFS(06_新規出店計画!$C$3:$C$22,$A19,06_新規出店計画!$H$3:$H$22,"OK")+COUNTIFS(07_品質改善報告!$C$3:$C$22,$A19,07_品質改善報告!$H$3:$H$22,"OK")+COUNTIFS(08_デジタル広告!$C$3:$C$22,$A19,08_デジタル広告!$H$3:$H$22,"OK")+COUNTIFS(09_組織再編案!$C$3:$C$22,$A19,09_組織再編案!$H$3:$H$22,"OK")+COUNTIFS(10_技術ロードマップ!$C$3:$C$22,$A19,10_技術ロードマップ!$H$3:$H$22,"OK")</f>
        <v>10</v>
      </c>
      <c r="D19" s="23" t="n">
        <f aca="false">COUNTIFS(06_新規出店計画!$C$3:$C$22,$A19,06_新規出店計画!$H$3:$H$22,"部分")+COUNTIFS(07_品質改善報告!$C$3:$C$22,$A19,07_品質改善報告!$H$3:$H$22,"部分")+COUNTIFS(08_デジタル広告!$C$3:$C$22,$A19,08_デジタル広告!$H$3:$H$22,"部分")+COUNTIFS(09_組織再編案!$C$3:$C$22,$A19,09_組織再編案!$H$3:$H$22,"部分")+COUNTIFS(10_技術ロードマップ!$C$3:$C$22,$A19,10_技術ロードマップ!$H$3:$H$22,"部分")</f>
        <v>0</v>
      </c>
      <c r="E19" s="23" t="n">
        <f aca="false">COUNTIFS(06_新規出店計画!$C$3:$C$22,$A19,06_新規出店計画!$H$3:$H$22,"NG")+COUNTIFS(07_品質改善報告!$C$3:$C$22,$A19,07_品質改善報告!$H$3:$H$22,"NG")+COUNTIFS(08_デジタル広告!$C$3:$C$22,$A19,08_デジタル広告!$H$3:$H$22,"NG")+COUNTIFS(09_組織再編案!$C$3:$C$22,$A19,09_組織再編案!$H$3:$H$22,"NG")+COUNTIFS(10_技術ロードマップ!$C$3:$C$22,$A19,10_技術ロードマップ!$H$3:$H$22,"NG")</f>
        <v>1</v>
      </c>
      <c r="F19" s="23" t="n">
        <f aca="false">B19-SUM(C19:E19)</f>
        <v>0</v>
      </c>
      <c r="G19" s="24" t="n">
        <f aca="false">IF(SUM(C19:E19)=0,"-",(C19+0.5*D19)/SUM(C19:E19))</f>
        <v>0.909090909090909</v>
      </c>
    </row>
    <row r="20" customFormat="false" ht="15" hidden="false" customHeight="true" outlineLevel="0" collapsed="false">
      <c r="A20" s="27" t="s">
        <v>92</v>
      </c>
      <c r="B20" s="23" t="n">
        <f aca="false">COUNTIF(06_新規出店計画!$C$3:$C$22,$A20)+COUNTIF(07_品質改善報告!$C$3:$C$22,$A20)+COUNTIF(08_デジタル広告!$C$3:$C$22,$A20)+COUNTIF(09_組織再編案!$C$3:$C$22,$A20)+COUNTIF(10_技術ロードマップ!$C$3:$C$22,$A20)</f>
        <v>8</v>
      </c>
      <c r="C20" s="23" t="n">
        <f aca="false">COUNTIFS(06_新規出店計画!$C$3:$C$22,$A20,06_新規出店計画!$H$3:$H$22,"OK")+COUNTIFS(07_品質改善報告!$C$3:$C$22,$A20,07_品質改善報告!$H$3:$H$22,"OK")+COUNTIFS(08_デジタル広告!$C$3:$C$22,$A20,08_デジタル広告!$H$3:$H$22,"OK")+COUNTIFS(09_組織再編案!$C$3:$C$22,$A20,09_組織再編案!$H$3:$H$22,"OK")+COUNTIFS(10_技術ロードマップ!$C$3:$C$22,$A20,10_技術ロードマップ!$H$3:$H$22,"OK")</f>
        <v>8</v>
      </c>
      <c r="D20" s="23" t="n">
        <f aca="false">COUNTIFS(06_新規出店計画!$C$3:$C$22,$A20,06_新規出店計画!$H$3:$H$22,"部分")+COUNTIFS(07_品質改善報告!$C$3:$C$22,$A20,07_品質改善報告!$H$3:$H$22,"部分")+COUNTIFS(08_デジタル広告!$C$3:$C$22,$A20,08_デジタル広告!$H$3:$H$22,"部分")+COUNTIFS(09_組織再編案!$C$3:$C$22,$A20,09_組織再編案!$H$3:$H$22,"部分")+COUNTIFS(10_技術ロードマップ!$C$3:$C$22,$A20,10_技術ロードマップ!$H$3:$H$22,"部分")</f>
        <v>0</v>
      </c>
      <c r="E20" s="23" t="n">
        <f aca="false">COUNTIFS(06_新規出店計画!$C$3:$C$22,$A20,06_新規出店計画!$H$3:$H$22,"NG")+COUNTIFS(07_品質改善報告!$C$3:$C$22,$A20,07_品質改善報告!$H$3:$H$22,"NG")+COUNTIFS(08_デジタル広告!$C$3:$C$22,$A20,08_デジタル広告!$H$3:$H$22,"NG")+COUNTIFS(09_組織再編案!$C$3:$C$22,$A20,09_組織再編案!$H$3:$H$22,"NG")+COUNTIFS(10_技術ロードマップ!$C$3:$C$22,$A20,10_技術ロードマップ!$H$3:$H$22,"NG")</f>
        <v>0</v>
      </c>
      <c r="F20" s="23" t="n">
        <f aca="false">B20-SUM(C20:E20)</f>
        <v>0</v>
      </c>
      <c r="G20" s="24" t="n">
        <f aca="false">IF(SUM(C20:E20)=0,"-",(C20+0.5*D20)/SUM(C20:E20))</f>
        <v>1</v>
      </c>
    </row>
    <row r="21" customFormat="false" ht="15" hidden="false" customHeight="true" outlineLevel="0" collapsed="false">
      <c r="A21" s="27" t="s">
        <v>98</v>
      </c>
      <c r="B21" s="23" t="n">
        <f aca="false">COUNTIF(06_新規出店計画!$C$3:$C$22,$A21)+COUNTIF(07_品質改善報告!$C$3:$C$22,$A21)+COUNTIF(08_デジタル広告!$C$3:$C$22,$A21)+COUNTIF(09_組織再編案!$C$3:$C$22,$A21)+COUNTIF(10_技術ロードマップ!$C$3:$C$22,$A21)</f>
        <v>10</v>
      </c>
      <c r="C21" s="23" t="n">
        <f aca="false">COUNTIFS(06_新規出店計画!$C$3:$C$22,$A21,06_新規出店計画!$H$3:$H$22,"OK")+COUNTIFS(07_品質改善報告!$C$3:$C$22,$A21,07_品質改善報告!$H$3:$H$22,"OK")+COUNTIFS(08_デジタル広告!$C$3:$C$22,$A21,08_デジタル広告!$H$3:$H$22,"OK")+COUNTIFS(09_組織再編案!$C$3:$C$22,$A21,09_組織再編案!$H$3:$H$22,"OK")+COUNTIFS(10_技術ロードマップ!$C$3:$C$22,$A21,10_技術ロードマップ!$H$3:$H$22,"OK")</f>
        <v>10</v>
      </c>
      <c r="D21" s="23" t="n">
        <f aca="false">COUNTIFS(06_新規出店計画!$C$3:$C$22,$A21,06_新規出店計画!$H$3:$H$22,"部分")+COUNTIFS(07_品質改善報告!$C$3:$C$22,$A21,07_品質改善報告!$H$3:$H$22,"部分")+COUNTIFS(08_デジタル広告!$C$3:$C$22,$A21,08_デジタル広告!$H$3:$H$22,"部分")+COUNTIFS(09_組織再編案!$C$3:$C$22,$A21,09_組織再編案!$H$3:$H$22,"部分")+COUNTIFS(10_技術ロードマップ!$C$3:$C$22,$A21,10_技術ロードマップ!$H$3:$H$22,"部分")</f>
        <v>0</v>
      </c>
      <c r="E21" s="23" t="n">
        <f aca="false">COUNTIFS(06_新規出店計画!$C$3:$C$22,$A21,06_新規出店計画!$H$3:$H$22,"NG")+COUNTIFS(07_品質改善報告!$C$3:$C$22,$A21,07_品質改善報告!$H$3:$H$22,"NG")+COUNTIFS(08_デジタル広告!$C$3:$C$22,$A21,08_デジタル広告!$H$3:$H$22,"NG")+COUNTIFS(09_組織再編案!$C$3:$C$22,$A21,09_組織再編案!$H$3:$H$22,"NG")+COUNTIFS(10_技術ロードマップ!$C$3:$C$22,$A21,10_技術ロードマップ!$H$3:$H$22,"NG")</f>
        <v>0</v>
      </c>
      <c r="F21" s="23" t="n">
        <f aca="false">B21-SUM(C21:E21)</f>
        <v>0</v>
      </c>
      <c r="G21" s="24" t="n">
        <f aca="false">IF(SUM(C21:E21)=0,"-",(C21+0.5*D21)/SUM(C21:E21))</f>
        <v>1</v>
      </c>
    </row>
    <row r="22" customFormat="false" ht="15" hidden="false" customHeight="true" outlineLevel="0" collapsed="false">
      <c r="A22" s="27" t="s">
        <v>111</v>
      </c>
      <c r="B22" s="23" t="n">
        <f aca="false">COUNTIF(06_新規出店計画!$C$3:$C$22,$A22)+COUNTIF(07_品質改善報告!$C$3:$C$22,$A22)+COUNTIF(08_デジタル広告!$C$3:$C$22,$A22)+COUNTIF(09_組織再編案!$C$3:$C$22,$A22)+COUNTIF(10_技術ロードマップ!$C$3:$C$22,$A22)</f>
        <v>23</v>
      </c>
      <c r="C22" s="23" t="n">
        <f aca="false">COUNTIFS(06_新規出店計画!$C$3:$C$22,$A22,06_新規出店計画!$H$3:$H$22,"OK")+COUNTIFS(07_品質改善報告!$C$3:$C$22,$A22,07_品質改善報告!$H$3:$H$22,"OK")+COUNTIFS(08_デジタル広告!$C$3:$C$22,$A22,08_デジタル広告!$H$3:$H$22,"OK")+COUNTIFS(09_組織再編案!$C$3:$C$22,$A22,09_組織再編案!$H$3:$H$22,"OK")+COUNTIFS(10_技術ロードマップ!$C$3:$C$22,$A22,10_技術ロードマップ!$H$3:$H$22,"OK")</f>
        <v>23</v>
      </c>
      <c r="D22" s="23" t="n">
        <f aca="false">COUNTIFS(06_新規出店計画!$C$3:$C$22,$A22,06_新規出店計画!$H$3:$H$22,"部分")+COUNTIFS(07_品質改善報告!$C$3:$C$22,$A22,07_品質改善報告!$H$3:$H$22,"部分")+COUNTIFS(08_デジタル広告!$C$3:$C$22,$A22,08_デジタル広告!$H$3:$H$22,"部分")+COUNTIFS(09_組織再編案!$C$3:$C$22,$A22,09_組織再編案!$H$3:$H$22,"部分")+COUNTIFS(10_技術ロードマップ!$C$3:$C$22,$A22,10_技術ロードマップ!$H$3:$H$22,"部分")</f>
        <v>0</v>
      </c>
      <c r="E22" s="23" t="n">
        <f aca="false">COUNTIFS(06_新規出店計画!$C$3:$C$22,$A22,06_新規出店計画!$H$3:$H$22,"NG")+COUNTIFS(07_品質改善報告!$C$3:$C$22,$A22,07_品質改善報告!$H$3:$H$22,"NG")+COUNTIFS(08_デジタル広告!$C$3:$C$22,$A22,08_デジタル広告!$H$3:$H$22,"NG")+COUNTIFS(09_組織再編案!$C$3:$C$22,$A22,09_組織再編案!$H$3:$H$22,"NG")+COUNTIFS(10_技術ロードマップ!$C$3:$C$22,$A22,10_技術ロードマップ!$H$3:$H$22,"NG")</f>
        <v>0</v>
      </c>
      <c r="F22" s="23" t="n">
        <f aca="false">B22-SUM(C22:E22)</f>
        <v>0</v>
      </c>
      <c r="G22" s="24" t="n">
        <f aca="false">IF(SUM(C22:E22)=0,"-",(C22+0.5*D22)/SUM(C22:E22))</f>
        <v>1</v>
      </c>
    </row>
    <row r="23" customFormat="false" ht="15" hidden="false" customHeight="true" outlineLevel="0" collapsed="false">
      <c r="A23" s="27" t="s">
        <v>154</v>
      </c>
      <c r="B23" s="23" t="n">
        <f aca="false">COUNTIF(06_新規出店計画!$C$3:$C$22,$A23)+COUNTIF(07_品質改善報告!$C$3:$C$22,$A23)+COUNTIF(08_デジタル広告!$C$3:$C$22,$A23)+COUNTIF(09_組織再編案!$C$3:$C$22,$A23)+COUNTIF(10_技術ロードマップ!$C$3:$C$22,$A23)</f>
        <v>3</v>
      </c>
      <c r="C23" s="23" t="n">
        <f aca="false">COUNTIFS(06_新規出店計画!$C$3:$C$22,$A23,06_新規出店計画!$H$3:$H$22,"OK")+COUNTIFS(07_品質改善報告!$C$3:$C$22,$A23,07_品質改善報告!$H$3:$H$22,"OK")+COUNTIFS(08_デジタル広告!$C$3:$C$22,$A23,08_デジタル広告!$H$3:$H$22,"OK")+COUNTIFS(09_組織再編案!$C$3:$C$22,$A23,09_組織再編案!$H$3:$H$22,"OK")+COUNTIFS(10_技術ロードマップ!$C$3:$C$22,$A23,10_技術ロードマップ!$H$3:$H$22,"OK")</f>
        <v>3</v>
      </c>
      <c r="D23" s="23" t="n">
        <f aca="false">COUNTIFS(06_新規出店計画!$C$3:$C$22,$A23,06_新規出店計画!$H$3:$H$22,"部分")+COUNTIFS(07_品質改善報告!$C$3:$C$22,$A23,07_品質改善報告!$H$3:$H$22,"部分")+COUNTIFS(08_デジタル広告!$C$3:$C$22,$A23,08_デジタル広告!$H$3:$H$22,"部分")+COUNTIFS(09_組織再編案!$C$3:$C$22,$A23,09_組織再編案!$H$3:$H$22,"部分")+COUNTIFS(10_技術ロードマップ!$C$3:$C$22,$A23,10_技術ロードマップ!$H$3:$H$22,"部分")</f>
        <v>0</v>
      </c>
      <c r="E23" s="23" t="n">
        <f aca="false">COUNTIFS(06_新規出店計画!$C$3:$C$22,$A23,06_新規出店計画!$H$3:$H$22,"NG")+COUNTIFS(07_品質改善報告!$C$3:$C$22,$A23,07_品質改善報告!$H$3:$H$22,"NG")+COUNTIFS(08_デジタル広告!$C$3:$C$22,$A23,08_デジタル広告!$H$3:$H$22,"NG")+COUNTIFS(09_組織再編案!$C$3:$C$22,$A23,09_組織再編案!$H$3:$H$22,"NG")+COUNTIFS(10_技術ロードマップ!$C$3:$C$22,$A23,10_技術ロードマップ!$H$3:$H$22,"NG")</f>
        <v>0</v>
      </c>
      <c r="F23" s="23" t="n">
        <f aca="false">B23-SUM(C23:E23)</f>
        <v>0</v>
      </c>
      <c r="G23" s="24" t="n">
        <f aca="false">IF(SUM(C23:E23)=0,"-",(C23+0.5*D23)/SUM(C23:E23))</f>
        <v>1</v>
      </c>
    </row>
    <row r="24" customFormat="false" ht="15" hidden="false" customHeight="true" outlineLevel="0" collapsed="false">
      <c r="A24" s="27" t="s">
        <v>164</v>
      </c>
      <c r="B24" s="23" t="n">
        <f aca="false">COUNTIF(06_新規出店計画!$C$3:$C$22,$A24)+COUNTIF(07_品質改善報告!$C$3:$C$22,$A24)+COUNTIF(08_デジタル広告!$C$3:$C$22,$A24)+COUNTIF(09_組織再編案!$C$3:$C$22,$A24)+COUNTIF(10_技術ロードマップ!$C$3:$C$22,$A24)</f>
        <v>1</v>
      </c>
      <c r="C24" s="23" t="n">
        <f aca="false">COUNTIFS(06_新規出店計画!$C$3:$C$22,$A24,06_新規出店計画!$H$3:$H$22,"OK")+COUNTIFS(07_品質改善報告!$C$3:$C$22,$A24,07_品質改善報告!$H$3:$H$22,"OK")+COUNTIFS(08_デジタル広告!$C$3:$C$22,$A24,08_デジタル広告!$H$3:$H$22,"OK")+COUNTIFS(09_組織再編案!$C$3:$C$22,$A24,09_組織再編案!$H$3:$H$22,"OK")+COUNTIFS(10_技術ロードマップ!$C$3:$C$22,$A24,10_技術ロードマップ!$H$3:$H$22,"OK")</f>
        <v>1</v>
      </c>
      <c r="D24" s="23" t="n">
        <f aca="false">COUNTIFS(06_新規出店計画!$C$3:$C$22,$A24,06_新規出店計画!$H$3:$H$22,"部分")+COUNTIFS(07_品質改善報告!$C$3:$C$22,$A24,07_品質改善報告!$H$3:$H$22,"部分")+COUNTIFS(08_デジタル広告!$C$3:$C$22,$A24,08_デジタル広告!$H$3:$H$22,"部分")+COUNTIFS(09_組織再編案!$C$3:$C$22,$A24,09_組織再編案!$H$3:$H$22,"部分")+COUNTIFS(10_技術ロードマップ!$C$3:$C$22,$A24,10_技術ロードマップ!$H$3:$H$22,"部分")</f>
        <v>0</v>
      </c>
      <c r="E24" s="23" t="n">
        <f aca="false">COUNTIFS(06_新規出店計画!$C$3:$C$22,$A24,06_新規出店計画!$H$3:$H$22,"NG")+COUNTIFS(07_品質改善報告!$C$3:$C$22,$A24,07_品質改善報告!$H$3:$H$22,"NG")+COUNTIFS(08_デジタル広告!$C$3:$C$22,$A24,08_デジタル広告!$H$3:$H$22,"NG")+COUNTIFS(09_組織再編案!$C$3:$C$22,$A24,09_組織再編案!$H$3:$H$22,"NG")+COUNTIFS(10_技術ロードマップ!$C$3:$C$22,$A24,10_技術ロードマップ!$H$3:$H$22,"NG")</f>
        <v>0</v>
      </c>
      <c r="F24" s="23" t="n">
        <f aca="false">B24-SUM(C24:E24)</f>
        <v>0</v>
      </c>
      <c r="G24" s="24" t="n">
        <f aca="false">IF(SUM(C24:E24)=0,"-",(C24+0.5*D24)/SUM(C24:E24))</f>
        <v>1</v>
      </c>
    </row>
    <row r="26" customFormat="false" ht="15" hidden="false" customHeight="true" outlineLevel="0" collapsed="false">
      <c r="A26" s="8"/>
    </row>
  </sheetData>
  <mergeCells count="2">
    <mergeCell ref="B2:F2"/>
    <mergeCell ref="B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2026-10-30T07:22:04Z</dcterms:created>
  <dc:creator>openpyxl</dc:creator>
  <dc:description/>
  <dc:language>en-US</dc:language>
  <cp:lastModifiedBy/>
  <dcterms:modified xsi:type="dcterms:W3CDTF">2026-10-30T08:29:50Z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