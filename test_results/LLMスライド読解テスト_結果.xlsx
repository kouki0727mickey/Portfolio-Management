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実施方法" sheetId="1" state="visible" r:id="rId3"/>
    <sheet name="01_問題" sheetId="2" state="visible" r:id="rId4"/>
    <sheet name="01_正解表" sheetId="3" state="visible" r:id="rId5"/>
    <sheet name="02_問題" sheetId="4" state="visible" r:id="rId6"/>
    <sheet name="02_正解表" sheetId="5" state="visible" r:id="rId7"/>
    <sheet name="03_問題" sheetId="6" state="visible" r:id="rId8"/>
    <sheet name="03_正解表" sheetId="7" state="visible" r:id="rId9"/>
    <sheet name="04_問題" sheetId="8" state="visible" r:id="rId10"/>
    <sheet name="04_正解表" sheetId="9" state="visible" r:id="rId11"/>
    <sheet name="05_問題" sheetId="10" state="visible" r:id="rId12"/>
    <sheet name="05_正解表" sheetId="11" state="visible" r:id="rId13"/>
    <sheet name="集計" sheetId="12" state="visible" r:id="rId14"/>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<sst xmlns="http://schemas.openxmlformats.org/spreadsheetml/2006/main" count="1113" uniqueCount="590">
  <si>
    <r>
      <rPr>
        <b val="true"/>
        <sz val="17"/>
        <rFont val="Noto Sans JP"/>
        <family val="0"/>
        <charset val="1"/>
      </rPr>
      <t xml:space="preserve">LLM</t>
    </r>
    <r>
      <rPr>
        <b val="true"/>
        <sz val="17"/>
        <rFont val="WenQuanYi Zen Hei"/>
        <family val="2"/>
      </rPr>
      <t xml:space="preserve">スライド読解テスト：実施方法</t>
    </r>
  </si>
  <si>
    <r>
      <rPr>
        <sz val="12"/>
        <rFont val="WenQuanYi Zen Hei"/>
        <family val="2"/>
      </rPr>
      <t xml:space="preserve">対象：</t>
    </r>
    <r>
      <rPr>
        <sz val="12"/>
        <rFont val="Noto Sans JP"/>
        <family val="0"/>
        <charset val="1"/>
      </rPr>
      <t xml:space="preserve">5</t>
    </r>
    <r>
      <rPr>
        <sz val="12"/>
        <rFont val="WenQuanYi Zen Hei"/>
        <family val="2"/>
      </rPr>
      <t xml:space="preserve">ファイル</t>
    </r>
    <r>
      <rPr>
        <sz val="12"/>
        <rFont val="Noto Sans JP"/>
        <family val="0"/>
        <charset val="1"/>
      </rPr>
      <t xml:space="preserve">×10</t>
    </r>
    <r>
      <rPr>
        <sz val="12"/>
        <rFont val="WenQuanYi Zen Hei"/>
        <family val="2"/>
      </rPr>
      <t xml:space="preserve">枚、各</t>
    </r>
    <r>
      <rPr>
        <sz val="12"/>
        <rFont val="Noto Sans JP"/>
        <family val="0"/>
        <charset val="1"/>
      </rPr>
      <t xml:space="preserve">20</t>
    </r>
    <r>
      <rPr>
        <sz val="12"/>
        <rFont val="WenQuanYi Zen Hei"/>
        <family val="2"/>
      </rPr>
      <t xml:space="preserve">問、合計</t>
    </r>
    <r>
      <rPr>
        <sz val="12"/>
        <rFont val="Noto Sans JP"/>
        <family val="0"/>
        <charset val="1"/>
      </rPr>
      <t xml:space="preserve">100</t>
    </r>
    <r>
      <rPr>
        <sz val="12"/>
        <rFont val="WenQuanYi Zen Hei"/>
        <family val="2"/>
      </rPr>
      <t xml:space="preserve">問。すべて架空の業務データ。</t>
    </r>
  </si>
  <si>
    <r>
      <rPr>
        <sz val="12"/>
        <rFont val="WenQuanYi Zen Hei"/>
        <family val="2"/>
      </rPr>
      <t xml:space="preserve">入力：対象</t>
    </r>
    <r>
      <rPr>
        <sz val="12"/>
        <rFont val="Noto Sans JP"/>
        <family val="0"/>
        <charset val="1"/>
      </rPr>
      <t xml:space="preserve">PPTX</t>
    </r>
    <r>
      <rPr>
        <sz val="12"/>
        <rFont val="WenQuanYi Zen Hei"/>
        <family val="2"/>
      </rPr>
      <t xml:space="preserve">と「問題」シートの質問のみを</t>
    </r>
    <r>
      <rPr>
        <sz val="12"/>
        <rFont val="Noto Sans JP"/>
        <family val="0"/>
        <charset val="1"/>
      </rPr>
      <t xml:space="preserve">LLM</t>
    </r>
    <r>
      <rPr>
        <sz val="12"/>
        <rFont val="WenQuanYi Zen Hei"/>
        <family val="2"/>
      </rPr>
      <t xml:space="preserve">へ渡す。正解表は渡さない。</t>
    </r>
  </si>
  <si>
    <t xml:space="preserve">共通指示：資料のみを根拠に回答し、参照スライド番号と計算式を示す。記載がなければ不明と答える。</t>
  </si>
  <si>
    <t xml:space="preserve">推奨：質問ごとに新しい会話で実施。モデル名・版・読込方式・実施日を別途記録する。</t>
  </si>
  <si>
    <r>
      <rPr>
        <sz val="12"/>
        <rFont val="WenQuanYi Zen Hei"/>
        <family val="2"/>
      </rPr>
      <t xml:space="preserve">採点：</t>
    </r>
    <r>
      <rPr>
        <sz val="12"/>
        <rFont val="Noto Sans JP"/>
        <family val="0"/>
        <charset val="1"/>
      </rPr>
      <t xml:space="preserve">2</t>
    </r>
    <r>
      <rPr>
        <sz val="12"/>
        <rFont val="WenQuanYi Zen Hei"/>
        <family val="2"/>
      </rPr>
      <t xml:space="preserve">＝必須要素が一致、</t>
    </r>
    <r>
      <rPr>
        <sz val="12"/>
        <rFont val="Noto Sans JP"/>
        <family val="0"/>
        <charset val="1"/>
      </rPr>
      <t xml:space="preserve">1</t>
    </r>
    <r>
      <rPr>
        <sz val="12"/>
        <rFont val="WenQuanYi Zen Hei"/>
        <family val="2"/>
      </rPr>
      <t xml:space="preserve">＝一部正しいが不足、</t>
    </r>
    <r>
      <rPr>
        <sz val="12"/>
        <rFont val="Noto Sans JP"/>
        <family val="0"/>
        <charset val="1"/>
      </rPr>
      <t xml:space="preserve">0</t>
    </r>
    <r>
      <rPr>
        <sz val="12"/>
        <rFont val="WenQuanYi Zen Hei"/>
        <family val="2"/>
      </rPr>
      <t xml:space="preserve">＝誤答・根拠のない断定・未回答。各問</t>
    </r>
    <r>
      <rPr>
        <sz val="12"/>
        <rFont val="Noto Sans JP"/>
        <family val="0"/>
        <charset val="1"/>
      </rPr>
      <t xml:space="preserve">2</t>
    </r>
    <r>
      <rPr>
        <sz val="12"/>
        <rFont val="WenQuanYi Zen Hei"/>
        <family val="2"/>
      </rPr>
      <t xml:space="preserve">点、各資料</t>
    </r>
    <r>
      <rPr>
        <sz val="12"/>
        <rFont val="Noto Sans JP"/>
        <family val="0"/>
        <charset val="1"/>
      </rPr>
      <t xml:space="preserve">40</t>
    </r>
    <r>
      <rPr>
        <sz val="12"/>
        <rFont val="WenQuanYi Zen Hei"/>
        <family val="2"/>
      </rPr>
      <t xml:space="preserve">点。</t>
    </r>
  </si>
  <si>
    <t xml:space="preserve">数値：同値の単位換算・言い換えを許容。丸め指定があればその精度で照合する。</t>
  </si>
  <si>
    <r>
      <rPr>
        <sz val="12"/>
        <rFont val="WenQuanYi Zen Hei"/>
        <family val="2"/>
      </rPr>
      <t xml:space="preserve">回答不能問題：不明／未確定と理由を述べた場合</t>
    </r>
    <r>
      <rPr>
        <sz val="12"/>
        <rFont val="Noto Sans JP"/>
        <family val="0"/>
        <charset val="1"/>
      </rPr>
      <t xml:space="preserve">2</t>
    </r>
    <r>
      <rPr>
        <sz val="12"/>
        <rFont val="WenQuanYi Zen Hei"/>
        <family val="2"/>
      </rPr>
      <t xml:space="preserve">点。具体値を推測して断定した場合</t>
    </r>
    <r>
      <rPr>
        <sz val="12"/>
        <rFont val="Noto Sans JP"/>
        <family val="0"/>
        <charset val="1"/>
      </rPr>
      <t xml:space="preserve">0</t>
    </r>
    <r>
      <rPr>
        <sz val="12"/>
        <rFont val="WenQuanYi Zen Hei"/>
        <family val="2"/>
      </rPr>
      <t xml:space="preserve">点。</t>
    </r>
  </si>
  <si>
    <r>
      <rPr>
        <sz val="12"/>
        <rFont val="WenQuanYi Zen Hei"/>
        <family val="2"/>
      </rPr>
      <t xml:space="preserve">資料番号</t>
    </r>
    <r>
      <rPr>
        <sz val="12"/>
        <rFont val="Noto Sans JP"/>
        <family val="0"/>
        <charset val="1"/>
      </rPr>
      <t xml:space="preserve">01</t>
    </r>
    <r>
      <rPr>
        <sz val="12"/>
        <rFont val="WenQuanYi Zen Hei"/>
        <family val="2"/>
      </rPr>
      <t xml:space="preserve">～</t>
    </r>
    <r>
      <rPr>
        <sz val="12"/>
        <rFont val="Noto Sans JP"/>
        <family val="0"/>
        <charset val="1"/>
      </rPr>
      <t xml:space="preserve">05</t>
    </r>
    <r>
      <rPr>
        <sz val="12"/>
        <rFont val="WenQuanYi Zen Hei"/>
        <family val="2"/>
      </rPr>
      <t xml:space="preserve">が</t>
    </r>
    <r>
      <rPr>
        <sz val="12"/>
        <rFont val="Noto Sans JP"/>
        <family val="0"/>
        <charset val="1"/>
      </rPr>
      <t xml:space="preserve">PowerPoint</t>
    </r>
    <r>
      <rPr>
        <sz val="12"/>
        <rFont val="WenQuanYi Zen Hei"/>
        <family val="2"/>
      </rPr>
      <t xml:space="preserve">ファイルの先頭番号に対応。表紙をスライド</t>
    </r>
    <r>
      <rPr>
        <sz val="12"/>
        <rFont val="Noto Sans JP"/>
        <family val="0"/>
        <charset val="1"/>
      </rPr>
      <t xml:space="preserve">1</t>
    </r>
    <r>
      <rPr>
        <sz val="12"/>
        <rFont val="WenQuanYi Zen Hei"/>
        <family val="2"/>
      </rPr>
      <t xml:space="preserve">として数える。</t>
    </r>
  </si>
  <si>
    <r>
      <rPr>
        <sz val="12"/>
        <rFont val="WenQuanYi Zen Hei"/>
        <family val="2"/>
      </rPr>
      <t xml:space="preserve">正解表の</t>
    </r>
    <r>
      <rPr>
        <sz val="12"/>
        <rFont val="Noto Sans JP"/>
        <family val="0"/>
        <charset val="1"/>
      </rPr>
      <t xml:space="preserve">LLM</t>
    </r>
    <r>
      <rPr>
        <sz val="12"/>
        <rFont val="WenQuanYi Zen Hei"/>
        <family val="2"/>
      </rPr>
      <t xml:space="preserve">回答・得点・評価メモ欄を記録用に使用。得点は手動評価。</t>
    </r>
  </si>
  <si>
    <r>
      <rPr>
        <b val="true"/>
        <sz val="15"/>
        <rFont val="WenQuanYi Zen Hei"/>
        <family val="2"/>
      </rPr>
      <t xml:space="preserve">生成</t>
    </r>
    <r>
      <rPr>
        <b val="true"/>
        <sz val="15"/>
        <rFont val="Noto Sans JP"/>
        <family val="0"/>
        <charset val="1"/>
      </rPr>
      <t xml:space="preserve">AI</t>
    </r>
    <r>
      <rPr>
        <b val="true"/>
        <sz val="15"/>
        <rFont val="WenQuanYi Zen Hei"/>
        <family val="2"/>
      </rPr>
      <t xml:space="preserve">導入提案：テスト問題（</t>
    </r>
    <r>
      <rPr>
        <b val="true"/>
        <sz val="15"/>
        <rFont val="Noto Sans JP"/>
        <family val="0"/>
        <charset val="1"/>
      </rPr>
      <t xml:space="preserve">LLM</t>
    </r>
    <r>
      <rPr>
        <b val="true"/>
        <sz val="15"/>
        <rFont val="WenQuanYi Zen Hei"/>
        <family val="2"/>
      </rPr>
      <t xml:space="preserve">入力用）</t>
    </r>
  </si>
  <si>
    <t xml:space="preserve">ID</t>
  </si>
  <si>
    <t xml:space="preserve">質問</t>
  </si>
  <si>
    <t xml:space="preserve">01-Q01</t>
  </si>
  <si>
    <t xml:space="preserve">この提案の作成部署と提案責任者は誰ですか。</t>
  </si>
  <si>
    <t xml:space="preserve">01-Q02</t>
  </si>
  <si>
    <t xml:space="preserve">試行対象の部署・人数・期間を答えてください。</t>
  </si>
  <si>
    <t xml:space="preserve">01-Q03</t>
  </si>
  <si>
    <t xml:space="preserve">最も月間工数が大きい業務と、その工数を答えてください。</t>
  </si>
  <si>
    <t xml:space="preserve">01-Q04</t>
  </si>
  <si>
    <t xml:space="preserve">規程確認の月間工数を件数と対応時間から計算してください。</t>
  </si>
  <si>
    <t xml:space="preserve">01-Q05</t>
  </si>
  <si>
    <t xml:space="preserve">案件情報照会と顧客への自動回答は今回の対象ですか。</t>
  </si>
  <si>
    <t xml:space="preserve">01-Q06</t>
  </si>
  <si>
    <r>
      <rPr>
        <sz val="11"/>
        <rFont val="WenQuanYi Zen Hei"/>
        <family val="2"/>
      </rPr>
      <t xml:space="preserve">製品</t>
    </r>
    <r>
      <rPr>
        <sz val="11"/>
        <rFont val="Noto Sans JP"/>
        <family val="0"/>
        <charset val="1"/>
      </rPr>
      <t xml:space="preserve">FAQ</t>
    </r>
    <r>
      <rPr>
        <sz val="11"/>
        <rFont val="WenQuanYi Zen Hei"/>
        <family val="2"/>
      </rPr>
      <t xml:space="preserve">の件数・更新責任者・更新頻度を答えてください。</t>
    </r>
  </si>
  <si>
    <t xml:space="preserve">01-Q07</t>
  </si>
  <si>
    <r>
      <rPr>
        <sz val="11"/>
        <rFont val="WenQuanYi Zen Hei"/>
        <family val="2"/>
      </rPr>
      <t xml:space="preserve">検索から回答利用までに行う情報保護策を</t>
    </r>
    <r>
      <rPr>
        <sz val="11"/>
        <rFont val="Noto Sans JP"/>
        <family val="0"/>
        <charset val="1"/>
      </rPr>
      <t xml:space="preserve">2</t>
    </r>
    <r>
      <rPr>
        <sz val="11"/>
        <rFont val="WenQuanYi Zen Hei"/>
        <family val="2"/>
      </rPr>
      <t xml:space="preserve">つ挙げてください。</t>
    </r>
  </si>
  <si>
    <t xml:space="preserve">01-Q08</t>
  </si>
  <si>
    <t xml:space="preserve">回答の根拠が不足する場合はどう処理しますか。</t>
  </si>
  <si>
    <t xml:space="preserve">01-Q09</t>
  </si>
  <si>
    <r>
      <rPr>
        <sz val="11"/>
        <rFont val="Noto Sans JP"/>
        <family val="0"/>
        <charset val="1"/>
      </rPr>
      <t xml:space="preserve">B</t>
    </r>
    <r>
      <rPr>
        <sz val="11"/>
        <rFont val="WenQuanYi Zen Hei"/>
        <family val="2"/>
      </rPr>
      <t xml:space="preserve">案が</t>
    </r>
    <r>
      <rPr>
        <sz val="11"/>
        <rFont val="Noto Sans JP"/>
        <family val="0"/>
        <charset val="1"/>
      </rPr>
      <t xml:space="preserve">A</t>
    </r>
    <r>
      <rPr>
        <sz val="11"/>
        <rFont val="WenQuanYi Zen Hei"/>
        <family val="2"/>
      </rPr>
      <t xml:space="preserve">案より優れる権限制御上の点は何ですか。</t>
    </r>
  </si>
  <si>
    <t xml:space="preserve">01-Q10</t>
  </si>
  <si>
    <r>
      <rPr>
        <sz val="11"/>
        <rFont val="Noto Sans JP"/>
        <family val="0"/>
        <charset val="1"/>
      </rPr>
      <t xml:space="preserve">B</t>
    </r>
    <r>
      <rPr>
        <sz val="11"/>
        <rFont val="WenQuanYi Zen Hei"/>
        <family val="2"/>
      </rPr>
      <t xml:space="preserve">案と</t>
    </r>
    <r>
      <rPr>
        <sz val="11"/>
        <rFont val="Noto Sans JP"/>
        <family val="0"/>
        <charset val="1"/>
      </rPr>
      <t xml:space="preserve">A</t>
    </r>
    <r>
      <rPr>
        <sz val="11"/>
        <rFont val="WenQuanYi Zen Hei"/>
        <family val="2"/>
      </rPr>
      <t xml:space="preserve">案の初期費用差はいくらですか。</t>
    </r>
  </si>
  <si>
    <t xml:space="preserve">01-Q11</t>
  </si>
  <si>
    <t xml:space="preserve">導入後に残る対象業務の月間工数はいくらですか。</t>
  </si>
  <si>
    <t xml:space="preserve">01-Q12</t>
  </si>
  <si>
    <r>
      <rPr>
        <sz val="11"/>
        <rFont val="WenQuanYi Zen Hei"/>
        <family val="2"/>
      </rPr>
      <t xml:space="preserve">対象業務の工数削減率を小数第</t>
    </r>
    <r>
      <rPr>
        <sz val="11"/>
        <rFont val="Noto Sans JP"/>
        <family val="0"/>
        <charset val="1"/>
      </rPr>
      <t xml:space="preserve">1</t>
    </r>
    <r>
      <rPr>
        <sz val="11"/>
        <rFont val="WenQuanYi Zen Hei"/>
        <family val="2"/>
      </rPr>
      <t xml:space="preserve">位まで求めてください。</t>
    </r>
  </si>
  <si>
    <t xml:space="preserve">01-Q13</t>
  </si>
  <si>
    <t xml:space="preserve">対象外の案件情報照会が変わらない場合、全業務の導入後工数はいくらですか。</t>
  </si>
  <si>
    <t xml:space="preserve">01-Q14</t>
  </si>
  <si>
    <r>
      <rPr>
        <sz val="11"/>
        <rFont val="Noto Sans JP"/>
        <family val="0"/>
        <charset val="1"/>
      </rPr>
      <t xml:space="preserve">80</t>
    </r>
    <r>
      <rPr>
        <sz val="11"/>
        <rFont val="WenQuanYi Zen Hei"/>
        <family val="2"/>
      </rPr>
      <t xml:space="preserve">名による利用・効果測定はいつ、どの部署が行いますか。</t>
    </r>
  </si>
  <si>
    <t xml:space="preserve">01-Q15</t>
  </si>
  <si>
    <r>
      <rPr>
        <sz val="11"/>
        <rFont val="WenQuanYi Zen Hei"/>
        <family val="2"/>
      </rPr>
      <t xml:space="preserve">正答率</t>
    </r>
    <r>
      <rPr>
        <sz val="11"/>
        <rFont val="Noto Sans JP"/>
        <family val="0"/>
        <charset val="1"/>
      </rPr>
      <t xml:space="preserve">92%</t>
    </r>
    <r>
      <rPr>
        <sz val="11"/>
        <rFont val="WenQuanYi Zen Hei"/>
        <family val="2"/>
      </rPr>
      <t xml:space="preserve">、漏えい</t>
    </r>
    <r>
      <rPr>
        <sz val="11"/>
        <rFont val="Noto Sans JP"/>
        <family val="0"/>
        <charset val="1"/>
      </rPr>
      <t xml:space="preserve">0</t>
    </r>
    <r>
      <rPr>
        <sz val="11"/>
        <rFont val="WenQuanYi Zen Hei"/>
        <family val="2"/>
      </rPr>
      <t xml:space="preserve">件、時間削減率</t>
    </r>
    <r>
      <rPr>
        <sz val="11"/>
        <rFont val="Noto Sans JP"/>
        <family val="0"/>
        <charset val="1"/>
      </rPr>
      <t xml:space="preserve">35%</t>
    </r>
    <r>
      <rPr>
        <sz val="11"/>
        <rFont val="WenQuanYi Zen Hei"/>
        <family val="2"/>
      </rPr>
      <t xml:space="preserve">なら本番展開を申請できますか。</t>
    </r>
  </si>
  <si>
    <t xml:space="preserve">01-Q16</t>
  </si>
  <si>
    <r>
      <rPr>
        <sz val="11"/>
        <rFont val="WenQuanYi Zen Hei"/>
        <family val="2"/>
      </rPr>
      <t xml:space="preserve">漏えいを</t>
    </r>
    <r>
      <rPr>
        <sz val="11"/>
        <rFont val="Noto Sans JP"/>
        <family val="0"/>
        <charset val="1"/>
      </rPr>
      <t xml:space="preserve">1</t>
    </r>
    <r>
      <rPr>
        <sz val="11"/>
        <rFont val="WenQuanYi Zen Hei"/>
        <family val="2"/>
      </rPr>
      <t xml:space="preserve">件検知したときの対応を答えてください。</t>
    </r>
  </si>
  <si>
    <t xml:space="preserve">01-Q17</t>
  </si>
  <si>
    <t xml:space="preserve">月間純効果と単純回収期間を求めてください。</t>
  </si>
  <si>
    <t xml:space="preserve">01-Q18</t>
  </si>
  <si>
    <t xml:space="preserve">この回収期間を実際の資金回収期間と断定できますか。</t>
  </si>
  <si>
    <t xml:space="preserve">01-Q19</t>
  </si>
  <si>
    <r>
      <rPr>
        <sz val="11"/>
        <rFont val="WenQuanYi Zen Hei"/>
        <family val="2"/>
      </rPr>
      <t xml:space="preserve">採用する生成</t>
    </r>
    <r>
      <rPr>
        <sz val="11"/>
        <rFont val="Noto Sans JP"/>
        <family val="0"/>
        <charset val="1"/>
      </rPr>
      <t xml:space="preserve">AI</t>
    </r>
    <r>
      <rPr>
        <sz val="11"/>
        <rFont val="WenQuanYi Zen Hei"/>
        <family val="2"/>
      </rPr>
      <t xml:space="preserve">モデルの正式名称は何ですか。</t>
    </r>
  </si>
  <si>
    <t xml:space="preserve">01-Q20</t>
  </si>
  <si>
    <t xml:space="preserve">試行予算の決裁者と本番展開を判断する評価会の日付を答えてください。</t>
  </si>
  <si>
    <r>
      <rPr>
        <b val="true"/>
        <sz val="15"/>
        <rFont val="WenQuanYi Zen Hei"/>
        <family val="2"/>
      </rPr>
      <t xml:space="preserve">生成</t>
    </r>
    <r>
      <rPr>
        <b val="true"/>
        <sz val="15"/>
        <rFont val="Noto Sans JP"/>
        <family val="0"/>
        <charset val="1"/>
      </rPr>
      <t xml:space="preserve">AI</t>
    </r>
    <r>
      <rPr>
        <b val="true"/>
        <sz val="15"/>
        <rFont val="WenQuanYi Zen Hei"/>
        <family val="2"/>
      </rPr>
      <t xml:space="preserve">導入提案：期待回答・評価記録</t>
    </r>
  </si>
  <si>
    <t xml:space="preserve">分類</t>
  </si>
  <si>
    <t xml:space="preserve">期待回答・採点必須要素</t>
  </si>
  <si>
    <t xml:space="preserve">参照スライド</t>
  </si>
  <si>
    <r>
      <rPr>
        <b val="true"/>
        <sz val="11"/>
        <color rgb="FFFFFFFF"/>
        <rFont val="Noto Sans JP"/>
        <family val="0"/>
        <charset val="1"/>
      </rPr>
      <t xml:space="preserve">LLM</t>
    </r>
    <r>
      <rPr>
        <b val="true"/>
        <sz val="11"/>
        <color rgb="FFFFFFFF"/>
        <rFont val="WenQuanYi Zen Hei"/>
        <family val="2"/>
      </rPr>
      <t xml:space="preserve">回答</t>
    </r>
  </si>
  <si>
    <r>
      <rPr>
        <b val="true"/>
        <sz val="11"/>
        <color rgb="FFFFFFFF"/>
        <rFont val="WenQuanYi Zen Hei"/>
        <family val="2"/>
      </rPr>
      <t xml:space="preserve">得点（</t>
    </r>
    <r>
      <rPr>
        <b val="true"/>
        <sz val="11"/>
        <color rgb="FFFFFFFF"/>
        <rFont val="Noto Sans JP"/>
        <family val="0"/>
        <charset val="1"/>
      </rPr>
      <t xml:space="preserve">0</t>
    </r>
    <r>
      <rPr>
        <b val="true"/>
        <sz val="11"/>
        <color rgb="FFFFFFFF"/>
        <rFont val="WenQuanYi Zen Hei"/>
        <family val="2"/>
      </rPr>
      <t xml:space="preserve">～</t>
    </r>
    <r>
      <rPr>
        <b val="true"/>
        <sz val="11"/>
        <color rgb="FFFFFFFF"/>
        <rFont val="Noto Sans JP"/>
        <family val="0"/>
        <charset val="1"/>
      </rPr>
      <t xml:space="preserve">2</t>
    </r>
    <r>
      <rPr>
        <b val="true"/>
        <sz val="11"/>
        <color rgb="FFFFFFFF"/>
        <rFont val="WenQuanYi Zen Hei"/>
        <family val="2"/>
      </rPr>
      <t xml:space="preserve">）</t>
    </r>
  </si>
  <si>
    <t xml:space="preserve">評価メモ</t>
  </si>
  <si>
    <t xml:space="preserve">判定</t>
  </si>
  <si>
    <t xml:space="preserve">生値ファイル</t>
  </si>
  <si>
    <t xml:space="preserve">事実抽出</t>
  </si>
  <si>
    <t xml:space="preserve">業務改革室、佐藤 遥。</t>
  </si>
  <si>
    <t xml:space="preserve">1</t>
  </si>
  <si>
    <r>
      <rPr>
        <sz val="11"/>
        <rFont val="WenQuanYi Zen Hei"/>
        <family val="2"/>
      </rPr>
      <t xml:space="preserve">作成部署は業務改革室、提案責任者は佐藤 遥です（スライド</t>
    </r>
    <r>
      <rPr>
        <sz val="11"/>
        <rFont val="Noto Sans JP"/>
        <family val="0"/>
        <charset val="1"/>
      </rPr>
      <t xml:space="preserve">1</t>
    </r>
    <r>
      <rPr>
        <sz val="11"/>
        <rFont val="WenQuanYi Zen Hei"/>
        <family val="2"/>
      </rPr>
      <t xml:space="preserve">）。</t>
    </r>
  </si>
  <si>
    <t xml:space="preserve">必須要素がすべて一致。</t>
  </si>
  <si>
    <t xml:space="preserve">/tmp/out/01-Q01.txt</t>
  </si>
  <si>
    <r>
      <rPr>
        <sz val="11"/>
        <rFont val="WenQuanYi Zen Hei"/>
        <family val="2"/>
      </rPr>
      <t xml:space="preserve">営業部</t>
    </r>
    <r>
      <rPr>
        <sz val="11"/>
        <rFont val="Noto Sans JP"/>
        <family val="0"/>
        <charset val="1"/>
      </rPr>
      <t xml:space="preserve">80</t>
    </r>
    <r>
      <rPr>
        <sz val="11"/>
        <rFont val="WenQuanYi Zen Hei"/>
        <family val="2"/>
      </rPr>
      <t xml:space="preserve">名、</t>
    </r>
    <r>
      <rPr>
        <sz val="11"/>
        <rFont val="Noto Sans JP"/>
        <family val="0"/>
        <charset val="1"/>
      </rPr>
      <t xml:space="preserve">2026</t>
    </r>
    <r>
      <rPr>
        <sz val="11"/>
        <rFont val="WenQuanYi Zen Hei"/>
        <family val="2"/>
      </rPr>
      <t xml:space="preserve">年</t>
    </r>
    <r>
      <rPr>
        <sz val="11"/>
        <rFont val="Noto Sans JP"/>
        <family val="0"/>
        <charset val="1"/>
      </rPr>
      <t xml:space="preserve">11</t>
    </r>
    <r>
      <rPr>
        <sz val="11"/>
        <rFont val="WenQuanYi Zen Hei"/>
        <family val="2"/>
      </rPr>
      <t xml:space="preserve">月</t>
    </r>
    <r>
      <rPr>
        <sz val="11"/>
        <rFont val="Noto Sans JP"/>
        <family val="0"/>
        <charset val="1"/>
      </rPr>
      <t xml:space="preserve">2</t>
    </r>
    <r>
      <rPr>
        <sz val="11"/>
        <rFont val="WenQuanYi Zen Hei"/>
        <family val="2"/>
      </rPr>
      <t xml:space="preserve">日～</t>
    </r>
    <r>
      <rPr>
        <sz val="11"/>
        <rFont val="Noto Sans JP"/>
        <family val="0"/>
        <charset val="1"/>
      </rPr>
      <t xml:space="preserve">12</t>
    </r>
    <r>
      <rPr>
        <sz val="11"/>
        <rFont val="WenQuanYi Zen Hei"/>
        <family val="2"/>
      </rPr>
      <t xml:space="preserve">月</t>
    </r>
    <r>
      <rPr>
        <sz val="11"/>
        <rFont val="Noto Sans JP"/>
        <family val="0"/>
        <charset val="1"/>
      </rPr>
      <t xml:space="preserve">25</t>
    </r>
    <r>
      <rPr>
        <sz val="11"/>
        <rFont val="WenQuanYi Zen Hei"/>
        <family val="2"/>
      </rPr>
      <t xml:space="preserve">日。</t>
    </r>
  </si>
  <si>
    <t xml:space="preserve">2</t>
  </si>
  <si>
    <r>
      <rPr>
        <sz val="11"/>
        <rFont val="WenQuanYi Zen Hei"/>
        <family val="2"/>
      </rPr>
      <t xml:space="preserve">試行対象は営業部の</t>
    </r>
    <r>
      <rPr>
        <sz val="11"/>
        <rFont val="Noto Sans JP"/>
        <family val="0"/>
        <charset val="1"/>
      </rPr>
      <t xml:space="preserve">80</t>
    </r>
    <r>
      <rPr>
        <sz val="11"/>
        <rFont val="WenQuanYi Zen Hei"/>
        <family val="2"/>
      </rPr>
      <t xml:space="preserve">名で、試行期間は</t>
    </r>
    <r>
      <rPr>
        <sz val="11"/>
        <rFont val="Noto Sans JP"/>
        <family val="0"/>
        <charset val="1"/>
      </rPr>
      <t xml:space="preserve">2026</t>
    </r>
    <r>
      <rPr>
        <sz val="11"/>
        <rFont val="WenQuanYi Zen Hei"/>
        <family val="2"/>
      </rPr>
      <t xml:space="preserve">年</t>
    </r>
    <r>
      <rPr>
        <sz val="11"/>
        <rFont val="Noto Sans JP"/>
        <family val="0"/>
        <charset val="1"/>
      </rPr>
      <t xml:space="preserve">11</t>
    </r>
    <r>
      <rPr>
        <sz val="11"/>
        <rFont val="WenQuanYi Zen Hei"/>
        <family val="2"/>
      </rPr>
      <t xml:space="preserve">月</t>
    </r>
    <r>
      <rPr>
        <sz val="11"/>
        <rFont val="Noto Sans JP"/>
        <family val="0"/>
        <charset val="1"/>
      </rPr>
      <t xml:space="preserve">2</t>
    </r>
    <r>
      <rPr>
        <sz val="11"/>
        <rFont val="WenQuanYi Zen Hei"/>
        <family val="2"/>
      </rPr>
      <t xml:space="preserve">日～</t>
    </r>
    <r>
      <rPr>
        <sz val="11"/>
        <rFont val="Noto Sans JP"/>
        <family val="0"/>
        <charset val="1"/>
      </rPr>
      <t xml:space="preserve">12</t>
    </r>
    <r>
      <rPr>
        <sz val="11"/>
        <rFont val="WenQuanYi Zen Hei"/>
        <family val="2"/>
      </rPr>
      <t xml:space="preserve">月</t>
    </r>
    <r>
      <rPr>
        <sz val="11"/>
        <rFont val="Noto Sans JP"/>
        <family val="0"/>
        <charset val="1"/>
      </rPr>
      <t xml:space="preserve">25</t>
    </r>
    <r>
      <rPr>
        <sz val="11"/>
        <rFont val="WenQuanYi Zen Hei"/>
        <family val="2"/>
      </rPr>
      <t xml:space="preserve">日です。対象業務は社内規程と製品</t>
    </r>
    <r>
      <rPr>
        <sz val="11"/>
        <rFont val="Noto Sans JP"/>
        <family val="0"/>
        <charset val="1"/>
      </rPr>
      <t xml:space="preserve">FAQ</t>
    </r>
    <r>
      <rPr>
        <sz val="11"/>
        <rFont val="WenQuanYi Zen Hei"/>
        <family val="2"/>
      </rPr>
      <t xml:space="preserve">の検索です（スライド</t>
    </r>
    <r>
      <rPr>
        <sz val="11"/>
        <rFont val="Noto Sans JP"/>
        <family val="0"/>
        <charset val="1"/>
      </rPr>
      <t xml:space="preserve">2</t>
    </r>
    <r>
      <rPr>
        <sz val="11"/>
        <rFont val="WenQuanYi Zen Hei"/>
        <family val="2"/>
      </rPr>
      <t xml:space="preserve">）。このうち</t>
    </r>
    <r>
      <rPr>
        <sz val="11"/>
        <rFont val="Noto Sans JP"/>
        <family val="0"/>
        <charset val="1"/>
      </rPr>
      <t xml:space="preserve">80</t>
    </r>
    <r>
      <rPr>
        <sz val="11"/>
        <rFont val="WenQuanYi Zen Hei"/>
        <family val="2"/>
      </rPr>
      <t xml:space="preserve">名が実際に利用して効果を測るのは</t>
    </r>
    <r>
      <rPr>
        <sz val="11"/>
        <rFont val="Noto Sans JP"/>
        <family val="0"/>
        <charset val="1"/>
      </rPr>
      <t xml:space="preserve">12</t>
    </r>
    <r>
      <rPr>
        <sz val="11"/>
        <rFont val="WenQuanYi Zen Hei"/>
        <family val="2"/>
      </rPr>
      <t xml:space="preserve">月</t>
    </r>
    <r>
      <rPr>
        <sz val="11"/>
        <rFont val="Noto Sans JP"/>
        <family val="0"/>
        <charset val="1"/>
      </rPr>
      <t xml:space="preserve">7</t>
    </r>
    <r>
      <rPr>
        <sz val="11"/>
        <rFont val="WenQuanYi Zen Hei"/>
        <family val="2"/>
      </rPr>
      <t xml:space="preserve">日～</t>
    </r>
    <r>
      <rPr>
        <sz val="11"/>
        <rFont val="Noto Sans JP"/>
        <family val="0"/>
        <charset val="1"/>
      </rPr>
      <t xml:space="preserve">12</t>
    </r>
    <r>
      <rPr>
        <sz val="11"/>
        <rFont val="WenQuanYi Zen Hei"/>
        <family val="2"/>
      </rPr>
      <t xml:space="preserve">月</t>
    </r>
    <r>
      <rPr>
        <sz val="11"/>
        <rFont val="Noto Sans JP"/>
        <family val="0"/>
        <charset val="1"/>
      </rPr>
      <t xml:space="preserve">18</t>
    </r>
    <r>
      <rPr>
        <sz val="11"/>
        <rFont val="WenQuanYi Zen Hei"/>
        <family val="2"/>
      </rPr>
      <t xml:space="preserve">日で、</t>
    </r>
    <r>
      <rPr>
        <sz val="11"/>
        <rFont val="Noto Sans JP"/>
        <family val="0"/>
        <charset val="1"/>
      </rPr>
      <t xml:space="preserve">12</t>
    </r>
    <r>
      <rPr>
        <sz val="11"/>
        <rFont val="WenQuanYi Zen Hei"/>
        <family val="2"/>
      </rPr>
      <t xml:space="preserve">月</t>
    </r>
    <r>
      <rPr>
        <sz val="11"/>
        <rFont val="Noto Sans JP"/>
        <family val="0"/>
        <charset val="1"/>
      </rPr>
      <t xml:space="preserve">25</t>
    </r>
    <r>
      <rPr>
        <sz val="11"/>
        <rFont val="WenQuanYi Zen Hei"/>
        <family val="2"/>
      </rPr>
      <t xml:space="preserve">日の評価会で本番展開するかどうかを決めます（スライド</t>
    </r>
    <r>
      <rPr>
        <sz val="11"/>
        <rFont val="Noto Sans JP"/>
        <family val="0"/>
        <charset val="1"/>
      </rPr>
      <t xml:space="preserve">8</t>
    </r>
    <r>
      <rPr>
        <sz val="11"/>
        <rFont val="WenQuanYi Zen Hei"/>
        <family val="2"/>
      </rPr>
      <t xml:space="preserve">）。</t>
    </r>
  </si>
  <si>
    <t xml:space="preserve">/tmp/out/01-Q02.txt</t>
  </si>
  <si>
    <t xml:space="preserve">表の読解</t>
  </si>
  <si>
    <r>
      <rPr>
        <sz val="11"/>
        <rFont val="WenQuanYi Zen Hei"/>
        <family val="2"/>
      </rPr>
      <t xml:space="preserve">製品</t>
    </r>
    <r>
      <rPr>
        <sz val="11"/>
        <rFont val="Noto Sans JP"/>
        <family val="0"/>
        <charset val="1"/>
      </rPr>
      <t xml:space="preserve">FAQ</t>
    </r>
    <r>
      <rPr>
        <sz val="11"/>
        <rFont val="WenQuanYi Zen Hei"/>
        <family val="2"/>
      </rPr>
      <t xml:space="preserve">、</t>
    </r>
    <r>
      <rPr>
        <sz val="11"/>
        <rFont val="Noto Sans JP"/>
        <family val="0"/>
        <charset val="1"/>
      </rPr>
      <t xml:space="preserve">300</t>
    </r>
    <r>
      <rPr>
        <sz val="11"/>
        <rFont val="WenQuanYi Zen Hei"/>
        <family val="2"/>
      </rPr>
      <t xml:space="preserve">時間／月。</t>
    </r>
  </si>
  <si>
    <t xml:space="preserve">3</t>
  </si>
  <si>
    <r>
      <rPr>
        <sz val="11"/>
        <rFont val="WenQuanYi Zen Hei"/>
        <family val="2"/>
      </rPr>
      <t xml:space="preserve">最も月間工数が大きい業務は「製品</t>
    </r>
    <r>
      <rPr>
        <sz val="11"/>
        <rFont val="Noto Sans JP"/>
        <family val="0"/>
        <charset val="1"/>
      </rPr>
      <t xml:space="preserve">FAQ</t>
    </r>
    <r>
      <rPr>
        <sz val="11"/>
        <rFont val="WenQuanYi Zen Hei"/>
        <family val="2"/>
      </rPr>
      <t xml:space="preserve">」で、月間工数は</t>
    </r>
    <r>
      <rPr>
        <sz val="11"/>
        <rFont val="Noto Sans JP"/>
        <family val="0"/>
        <charset val="1"/>
      </rPr>
      <t xml:space="preserve">300</t>
    </r>
    <r>
      <rPr>
        <sz val="11"/>
        <rFont val="WenQuanYi Zen Hei"/>
        <family val="2"/>
      </rPr>
      <t xml:space="preserve">時間です（月間</t>
    </r>
    <r>
      <rPr>
        <sz val="11"/>
        <rFont val="Noto Sans JP"/>
        <family val="0"/>
        <charset val="1"/>
      </rPr>
      <t xml:space="preserve">900</t>
    </r>
    <r>
      <rPr>
        <sz val="11"/>
        <rFont val="WenQuanYi Zen Hei"/>
        <family val="2"/>
      </rPr>
      <t xml:space="preserve">件</t>
    </r>
    <r>
      <rPr>
        <sz val="11"/>
        <rFont val="Noto Sans JP"/>
        <family val="0"/>
        <charset val="1"/>
      </rPr>
      <t xml:space="preserve">×</t>
    </r>
    <r>
      <rPr>
        <sz val="11"/>
        <rFont val="WenQuanYi Zen Hei"/>
        <family val="2"/>
      </rPr>
      <t xml:space="preserve">平均</t>
    </r>
    <r>
      <rPr>
        <sz val="11"/>
        <rFont val="Noto Sans JP"/>
        <family val="0"/>
        <charset val="1"/>
      </rPr>
      <t xml:space="preserve">20</t>
    </r>
    <r>
      <rPr>
        <sz val="11"/>
        <rFont val="WenQuanYi Zen Hei"/>
        <family val="2"/>
      </rPr>
      <t xml:space="preserve">分</t>
    </r>
    <r>
      <rPr>
        <sz val="11"/>
        <rFont val="Noto Sans JP"/>
        <family val="0"/>
        <charset val="1"/>
      </rPr>
      <t xml:space="preserve">÷60</t>
    </r>
    <r>
      <rPr>
        <sz val="11"/>
        <rFont val="WenQuanYi Zen Hei"/>
        <family val="2"/>
      </rPr>
      <t xml:space="preserve">。スライド</t>
    </r>
    <r>
      <rPr>
        <sz val="11"/>
        <rFont val="Noto Sans JP"/>
        <family val="0"/>
        <charset val="1"/>
      </rPr>
      <t xml:space="preserve">3</t>
    </r>
    <r>
      <rPr>
        <sz val="11"/>
        <rFont val="WenQuanYi Zen Hei"/>
        <family val="2"/>
      </rPr>
      <t xml:space="preserve">より）。</t>
    </r>
  </si>
  <si>
    <t xml:space="preserve">/tmp/out/01-Q03.txt</t>
  </si>
  <si>
    <t xml:space="preserve">計算</t>
  </si>
  <si>
    <r>
      <rPr>
        <sz val="11"/>
        <rFont val="Noto Sans JP"/>
        <family val="0"/>
        <charset val="1"/>
      </rPr>
      <t xml:space="preserve">600</t>
    </r>
    <r>
      <rPr>
        <sz val="11"/>
        <rFont val="WenQuanYi Zen Hei"/>
        <family val="2"/>
      </rPr>
      <t xml:space="preserve">件</t>
    </r>
    <r>
      <rPr>
        <sz val="11"/>
        <rFont val="Noto Sans JP"/>
        <family val="0"/>
        <charset val="1"/>
      </rPr>
      <t xml:space="preserve">×12</t>
    </r>
    <r>
      <rPr>
        <sz val="11"/>
        <rFont val="WenQuanYi Zen Hei"/>
        <family val="2"/>
      </rPr>
      <t xml:space="preserve">分</t>
    </r>
    <r>
      <rPr>
        <sz val="11"/>
        <rFont val="Noto Sans JP"/>
        <family val="0"/>
        <charset val="1"/>
      </rPr>
      <t xml:space="preserve">÷60</t>
    </r>
    <r>
      <rPr>
        <sz val="11"/>
        <rFont val="WenQuanYi Zen Hei"/>
        <family val="2"/>
      </rPr>
      <t xml:space="preserve">＝</t>
    </r>
    <r>
      <rPr>
        <sz val="11"/>
        <rFont val="Noto Sans JP"/>
        <family val="0"/>
        <charset val="1"/>
      </rPr>
      <t xml:space="preserve">120</t>
    </r>
    <r>
      <rPr>
        <sz val="11"/>
        <rFont val="WenQuanYi Zen Hei"/>
        <family val="2"/>
      </rPr>
      <t xml:space="preserve">時間／月。</t>
    </r>
  </si>
  <si>
    <r>
      <rPr>
        <sz val="11"/>
        <rFont val="WenQuanYi Zen Hei"/>
        <family val="2"/>
      </rPr>
      <t xml:space="preserve">規程確認の月間工数は</t>
    </r>
    <r>
      <rPr>
        <sz val="11"/>
        <rFont val="Noto Sans JP"/>
        <family val="0"/>
        <charset val="1"/>
      </rPr>
      <t xml:space="preserve">120</t>
    </r>
    <r>
      <rPr>
        <sz val="11"/>
        <rFont val="WenQuanYi Zen Hei"/>
        <family val="2"/>
      </rPr>
      <t xml:space="preserve">時間です。
計算：</t>
    </r>
    <r>
      <rPr>
        <sz val="11"/>
        <rFont val="Noto Sans JP"/>
        <family val="0"/>
        <charset val="1"/>
      </rPr>
      <t xml:space="preserve">600</t>
    </r>
    <r>
      <rPr>
        <sz val="11"/>
        <rFont val="WenQuanYi Zen Hei"/>
        <family val="2"/>
      </rPr>
      <t xml:space="preserve">件 </t>
    </r>
    <r>
      <rPr>
        <sz val="11"/>
        <rFont val="Noto Sans JP"/>
        <family val="0"/>
        <charset val="1"/>
      </rPr>
      <t xml:space="preserve">× 12</t>
    </r>
    <r>
      <rPr>
        <sz val="11"/>
        <rFont val="WenQuanYi Zen Hei"/>
        <family val="2"/>
      </rPr>
      <t xml:space="preserve">分 </t>
    </r>
    <r>
      <rPr>
        <sz val="11"/>
        <rFont val="Noto Sans JP"/>
        <family val="0"/>
        <charset val="1"/>
      </rPr>
      <t xml:space="preserve">= 7,200</t>
    </r>
    <r>
      <rPr>
        <sz val="11"/>
        <rFont val="WenQuanYi Zen Hei"/>
        <family val="2"/>
      </rPr>
      <t xml:space="preserve">分、</t>
    </r>
    <r>
      <rPr>
        <sz val="11"/>
        <rFont val="Noto Sans JP"/>
        <family val="0"/>
        <charset val="1"/>
      </rPr>
      <t xml:space="preserve">7,200</t>
    </r>
    <r>
      <rPr>
        <sz val="11"/>
        <rFont val="WenQuanYi Zen Hei"/>
        <family val="2"/>
      </rPr>
      <t xml:space="preserve">分 </t>
    </r>
    <r>
      <rPr>
        <sz val="11"/>
        <rFont val="Noto Sans JP"/>
        <family val="0"/>
        <charset val="1"/>
      </rPr>
      <t xml:space="preserve">÷ 60 = 120</t>
    </r>
    <r>
      <rPr>
        <sz val="11"/>
        <rFont val="WenQuanYi Zen Hei"/>
        <family val="2"/>
      </rPr>
      <t xml:space="preserve">時間
根拠：スライド</t>
    </r>
    <r>
      <rPr>
        <sz val="11"/>
        <rFont val="Noto Sans JP"/>
        <family val="0"/>
        <charset val="1"/>
      </rPr>
      <t xml:space="preserve">3</t>
    </r>
    <r>
      <rPr>
        <sz val="11"/>
        <rFont val="WenQuanYi Zen Hei"/>
        <family val="2"/>
      </rPr>
      <t xml:space="preserve">の表（規程確認：月間件数</t>
    </r>
    <r>
      <rPr>
        <sz val="11"/>
        <rFont val="Noto Sans JP"/>
        <family val="0"/>
        <charset val="1"/>
      </rPr>
      <t xml:space="preserve">600</t>
    </r>
    <r>
      <rPr>
        <sz val="11"/>
        <rFont val="WenQuanYi Zen Hei"/>
        <family val="2"/>
      </rPr>
      <t xml:space="preserve">件、平均対応時間</t>
    </r>
    <r>
      <rPr>
        <sz val="11"/>
        <rFont val="Noto Sans JP"/>
        <family val="0"/>
        <charset val="1"/>
      </rPr>
      <t xml:space="preserve">12</t>
    </r>
    <r>
      <rPr>
        <sz val="11"/>
        <rFont val="WenQuanYi Zen Hei"/>
        <family val="2"/>
      </rPr>
      <t xml:space="preserve">分）と、注記「工数は件数</t>
    </r>
    <r>
      <rPr>
        <sz val="11"/>
        <rFont val="Noto Sans JP"/>
        <family val="0"/>
        <charset val="1"/>
      </rPr>
      <t xml:space="preserve">×</t>
    </r>
    <r>
      <rPr>
        <sz val="11"/>
        <rFont val="WenQuanYi Zen Hei"/>
        <family val="2"/>
      </rPr>
      <t xml:space="preserve">分</t>
    </r>
    <r>
      <rPr>
        <sz val="11"/>
        <rFont val="Noto Sans JP"/>
        <family val="0"/>
        <charset val="1"/>
      </rPr>
      <t xml:space="preserve">÷60</t>
    </r>
    <r>
      <rPr>
        <sz val="11"/>
        <rFont val="WenQuanYi Zen Hei"/>
        <family val="2"/>
      </rPr>
      <t xml:space="preserve">」。計算結果は表の月間工数欄の</t>
    </r>
    <r>
      <rPr>
        <sz val="11"/>
        <rFont val="Noto Sans JP"/>
        <family val="0"/>
        <charset val="1"/>
      </rPr>
      <t xml:space="preserve">120</t>
    </r>
    <r>
      <rPr>
        <sz val="11"/>
        <rFont val="WenQuanYi Zen Hei"/>
        <family val="2"/>
      </rPr>
      <t xml:space="preserve">時間と一致します。</t>
    </r>
  </si>
  <si>
    <t xml:space="preserve">/tmp/out/01-Q04.txt</t>
  </si>
  <si>
    <t xml:space="preserve">範囲・例外</t>
  </si>
  <si>
    <t xml:space="preserve">どちらも対象外。</t>
  </si>
  <si>
    <t xml:space="preserve">2,3</t>
  </si>
  <si>
    <r>
      <rPr>
        <sz val="11"/>
        <rFont val="WenQuanYi Zen Hei"/>
        <family val="2"/>
      </rPr>
      <t xml:space="preserve">いいえ、どちらも今回の対象外です。
</t>
    </r>
    <r>
      <rPr>
        <sz val="11"/>
        <rFont val="Noto Sans JP"/>
        <family val="0"/>
        <charset val="1"/>
      </rPr>
      <t xml:space="preserve">- </t>
    </r>
    <r>
      <rPr>
        <sz val="11"/>
        <rFont val="WenQuanYi Zen Hei"/>
        <family val="2"/>
      </rPr>
      <t xml:space="preserve">案件情報照会：スライド</t>
    </r>
    <r>
      <rPr>
        <sz val="11"/>
        <rFont val="Noto Sans JP"/>
        <family val="0"/>
        <charset val="1"/>
      </rPr>
      <t xml:space="preserve">3</t>
    </r>
    <r>
      <rPr>
        <sz val="11"/>
        <rFont val="WenQuanYi Zen Hei"/>
        <family val="2"/>
      </rPr>
      <t xml:space="preserve">の注記に「案件情報照会は今回の導入対象外」とあります。スライド</t>
    </r>
    <r>
      <rPr>
        <sz val="11"/>
        <rFont val="Noto Sans JP"/>
        <family val="0"/>
        <charset val="1"/>
      </rPr>
      <t xml:space="preserve">4</t>
    </r>
    <r>
      <rPr>
        <sz val="11"/>
        <rFont val="WenQuanYi Zen Hei"/>
        <family val="2"/>
      </rPr>
      <t xml:space="preserve">の表でも、案件情報（</t>
    </r>
    <r>
      <rPr>
        <sz val="11"/>
        <rFont val="Noto Sans JP"/>
        <family val="0"/>
        <charset val="1"/>
      </rPr>
      <t xml:space="preserve">600</t>
    </r>
    <r>
      <rPr>
        <sz val="11"/>
        <rFont val="WenQuanYi Zen Hei"/>
        <family val="2"/>
      </rPr>
      <t xml:space="preserve">件、営業企画部）の更新頻度は「対象外」です。
</t>
    </r>
    <r>
      <rPr>
        <sz val="11"/>
        <rFont val="Noto Sans JP"/>
        <family val="0"/>
        <charset val="1"/>
      </rPr>
      <t xml:space="preserve">- </t>
    </r>
    <r>
      <rPr>
        <sz val="11"/>
        <rFont val="WenQuanYi Zen Hei"/>
        <family val="2"/>
      </rPr>
      <t xml:space="preserve">顧客への自動回答：スライド</t>
    </r>
    <r>
      <rPr>
        <sz val="11"/>
        <rFont val="Noto Sans JP"/>
        <family val="0"/>
        <charset val="1"/>
      </rPr>
      <t xml:space="preserve">2</t>
    </r>
    <r>
      <rPr>
        <sz val="11"/>
        <rFont val="WenQuanYi Zen Hei"/>
        <family val="2"/>
      </rPr>
      <t xml:space="preserve">の要点</t>
    </r>
    <r>
      <rPr>
        <sz val="11"/>
        <rFont val="Noto Sans JP"/>
        <family val="0"/>
        <charset val="1"/>
      </rPr>
      <t xml:space="preserve">4</t>
    </r>
    <r>
      <rPr>
        <sz val="11"/>
        <rFont val="WenQuanYi Zen Hei"/>
        <family val="2"/>
      </rPr>
      <t xml:space="preserve">に「顧客への自動回答と人事評価は対象外」とあります。あわせてスライド</t>
    </r>
    <r>
      <rPr>
        <sz val="11"/>
        <rFont val="Noto Sans JP"/>
        <family val="0"/>
        <charset val="1"/>
      </rPr>
      <t xml:space="preserve">5</t>
    </r>
    <r>
      <rPr>
        <sz val="11"/>
        <rFont val="WenQuanYi Zen Hei"/>
        <family val="2"/>
      </rPr>
      <t xml:space="preserve">では、回答を社外へ送る前に人が確認することになっています。
今回の対象は、営業部</t>
    </r>
    <r>
      <rPr>
        <sz val="11"/>
        <rFont val="Noto Sans JP"/>
        <family val="0"/>
        <charset val="1"/>
      </rPr>
      <t xml:space="preserve">80</t>
    </r>
    <r>
      <rPr>
        <sz val="11"/>
        <rFont val="WenQuanYi Zen Hei"/>
        <family val="2"/>
      </rPr>
      <t xml:space="preserve">名による社内規程と製品</t>
    </r>
    <r>
      <rPr>
        <sz val="11"/>
        <rFont val="Noto Sans JP"/>
        <family val="0"/>
        <charset val="1"/>
      </rPr>
      <t xml:space="preserve">FAQ</t>
    </r>
    <r>
      <rPr>
        <sz val="11"/>
        <rFont val="WenQuanYi Zen Hei"/>
        <family val="2"/>
      </rPr>
      <t xml:space="preserve">の検索です（スライド</t>
    </r>
    <r>
      <rPr>
        <sz val="11"/>
        <rFont val="Noto Sans JP"/>
        <family val="0"/>
        <charset val="1"/>
      </rPr>
      <t xml:space="preserve">2</t>
    </r>
    <r>
      <rPr>
        <sz val="11"/>
        <rFont val="WenQuanYi Zen Hei"/>
        <family val="2"/>
      </rPr>
      <t xml:space="preserve">）。このため、削減効果の試算もこの</t>
    </r>
    <r>
      <rPr>
        <sz val="11"/>
        <rFont val="Noto Sans JP"/>
        <family val="0"/>
        <charset val="1"/>
      </rPr>
      <t xml:space="preserve">2</t>
    </r>
    <r>
      <rPr>
        <sz val="11"/>
        <rFont val="WenQuanYi Zen Hei"/>
        <family val="2"/>
      </rPr>
      <t xml:space="preserve">業務の月</t>
    </r>
    <r>
      <rPr>
        <sz val="11"/>
        <rFont val="Noto Sans JP"/>
        <family val="0"/>
        <charset val="1"/>
      </rPr>
      <t xml:space="preserve">420</t>
    </r>
    <r>
      <rPr>
        <sz val="11"/>
        <rFont val="WenQuanYi Zen Hei"/>
        <family val="2"/>
      </rPr>
      <t xml:space="preserve">時間だけを基準にしています（スライド</t>
    </r>
    <r>
      <rPr>
        <sz val="11"/>
        <rFont val="Noto Sans JP"/>
        <family val="0"/>
        <charset val="1"/>
      </rPr>
      <t xml:space="preserve">7</t>
    </r>
    <r>
      <rPr>
        <sz val="11"/>
        <rFont val="WenQuanYi Zen Hei"/>
        <family val="2"/>
      </rPr>
      <t xml:space="preserve">）。</t>
    </r>
  </si>
  <si>
    <t xml:space="preserve">/tmp/out/01-Q05.txt</t>
  </si>
  <si>
    <r>
      <rPr>
        <sz val="11"/>
        <rFont val="Noto Sans JP"/>
        <family val="0"/>
        <charset val="1"/>
      </rPr>
      <t xml:space="preserve">380</t>
    </r>
    <r>
      <rPr>
        <sz val="11"/>
        <rFont val="WenQuanYi Zen Hei"/>
        <family val="2"/>
      </rPr>
      <t xml:space="preserve">件、商品企画部、週</t>
    </r>
    <r>
      <rPr>
        <sz val="11"/>
        <rFont val="Noto Sans JP"/>
        <family val="0"/>
        <charset val="1"/>
      </rPr>
      <t xml:space="preserve">1</t>
    </r>
    <r>
      <rPr>
        <sz val="11"/>
        <rFont val="WenQuanYi Zen Hei"/>
        <family val="2"/>
      </rPr>
      <t xml:space="preserve">回。</t>
    </r>
  </si>
  <si>
    <t xml:space="preserve">4</t>
  </si>
  <si>
    <r>
      <rPr>
        <sz val="11"/>
        <rFont val="WenQuanYi Zen Hei"/>
        <family val="2"/>
      </rPr>
      <t xml:space="preserve">製品</t>
    </r>
    <r>
      <rPr>
        <sz val="11"/>
        <rFont val="Noto Sans JP"/>
        <family val="0"/>
        <charset val="1"/>
      </rPr>
      <t xml:space="preserve">FAQ</t>
    </r>
    <r>
      <rPr>
        <sz val="11"/>
        <rFont val="WenQuanYi Zen Hei"/>
        <family val="2"/>
      </rPr>
      <t xml:space="preserve">（対象文書）：件数 </t>
    </r>
    <r>
      <rPr>
        <sz val="11"/>
        <rFont val="Noto Sans JP"/>
        <family val="0"/>
        <charset val="1"/>
      </rPr>
      <t xml:space="preserve">380</t>
    </r>
    <r>
      <rPr>
        <sz val="11"/>
        <rFont val="WenQuanYi Zen Hei"/>
        <family val="2"/>
      </rPr>
      <t xml:space="preserve">件、更新責任者 商品企画部、更新頻度 週</t>
    </r>
    <r>
      <rPr>
        <sz val="11"/>
        <rFont val="Noto Sans JP"/>
        <family val="0"/>
        <charset val="1"/>
      </rPr>
      <t xml:space="preserve">1</t>
    </r>
    <r>
      <rPr>
        <sz val="11"/>
        <rFont val="WenQuanYi Zen Hei"/>
        <family val="2"/>
      </rPr>
      <t xml:space="preserve">回</t>
    </r>
  </si>
  <si>
    <t xml:space="preserve">/tmp/out/01-Q06.txt</t>
  </si>
  <si>
    <t xml:space="preserve">手順</t>
  </si>
  <si>
    <t xml:space="preserve">閲覧権限で検索結果を制限する。社外送信前に人が確認する。</t>
  </si>
  <si>
    <t xml:space="preserve">5</t>
  </si>
  <si>
    <r>
      <rPr>
        <sz val="11"/>
        <rFont val="Noto Sans JP"/>
        <family val="0"/>
        <charset val="1"/>
      </rPr>
      <t xml:space="preserve">1. </t>
    </r>
    <r>
      <rPr>
        <sz val="11"/>
        <rFont val="WenQuanYi Zen Hei"/>
        <family val="2"/>
      </rPr>
      <t xml:space="preserve">検索時：閲覧権限で検索結果を制限し、社員の権限内の文書だけを検索する。
</t>
    </r>
    <r>
      <rPr>
        <sz val="11"/>
        <rFont val="Noto Sans JP"/>
        <family val="0"/>
        <charset val="1"/>
      </rPr>
      <t xml:space="preserve">2. </t>
    </r>
    <r>
      <rPr>
        <sz val="11"/>
        <rFont val="WenQuanYi Zen Hei"/>
        <family val="2"/>
      </rPr>
      <t xml:space="preserve">回答利用時：社外へ送信する前に、人（社員）が根拠を確認する。
（出典：スライド</t>
    </r>
    <r>
      <rPr>
        <sz val="11"/>
        <rFont val="Noto Sans JP"/>
        <family val="0"/>
        <charset val="1"/>
      </rPr>
      <t xml:space="preserve">5</t>
    </r>
    <r>
      <rPr>
        <sz val="11"/>
        <rFont val="WenQuanYi Zen Hei"/>
        <family val="2"/>
      </rPr>
      <t xml:space="preserve">「回答までの処理と責任分担」）</t>
    </r>
  </si>
  <si>
    <t xml:space="preserve">/tmp/out/01-Q07.txt</t>
  </si>
  <si>
    <t xml:space="preserve">条件判断</t>
  </si>
  <si>
    <t xml:space="preserve">回答を保留する。</t>
  </si>
  <si>
    <r>
      <rPr>
        <sz val="11"/>
        <rFont val="WenQuanYi Zen Hei"/>
        <family val="2"/>
      </rPr>
      <t xml:space="preserve">根拠が不足する場合は、</t>
    </r>
    <r>
      <rPr>
        <sz val="11"/>
        <rFont val="Noto Sans JP"/>
        <family val="0"/>
        <charset val="1"/>
      </rPr>
      <t xml:space="preserve">AI</t>
    </r>
    <r>
      <rPr>
        <sz val="11"/>
        <rFont val="WenQuanYi Zen Hei"/>
        <family val="2"/>
      </rPr>
      <t xml:space="preserve">は回答を保留します（スライド</t>
    </r>
    <r>
      <rPr>
        <sz val="11"/>
        <rFont val="Noto Sans JP"/>
        <family val="0"/>
        <charset val="1"/>
      </rPr>
      <t xml:space="preserve">5</t>
    </r>
    <r>
      <rPr>
        <sz val="11"/>
        <rFont val="WenQuanYi Zen Hei"/>
        <family val="2"/>
      </rPr>
      <t xml:space="preserve">「回答までの処理と責任分担」の手順</t>
    </r>
    <r>
      <rPr>
        <sz val="11"/>
        <rFont val="Noto Sans JP"/>
        <family val="0"/>
        <charset val="1"/>
      </rPr>
      <t xml:space="preserve">3</t>
    </r>
    <r>
      <rPr>
        <sz val="11"/>
        <rFont val="WenQuanYi Zen Hei"/>
        <family val="2"/>
      </rPr>
      <t xml:space="preserve">「根拠に沿った回答案を生成」の統制として「根拠不足なら回答を保留」と記載）。
あわせて、回答には参照文書名・版・該当箇所を表示し、社員が根拠を確認したうえで利用します。社外へ送る前には人が確認します（スライド</t>
    </r>
    <r>
      <rPr>
        <sz val="11"/>
        <rFont val="Noto Sans JP"/>
        <family val="0"/>
        <charset val="1"/>
      </rPr>
      <t xml:space="preserve">5</t>
    </r>
    <r>
      <rPr>
        <sz val="11"/>
        <rFont val="WenQuanYi Zen Hei"/>
        <family val="2"/>
      </rPr>
      <t xml:space="preserve">、手順</t>
    </r>
    <r>
      <rPr>
        <sz val="11"/>
        <rFont val="Noto Sans JP"/>
        <family val="0"/>
        <charset val="1"/>
      </rPr>
      <t xml:space="preserve">4</t>
    </r>
    <r>
      <rPr>
        <sz val="11"/>
        <rFont val="WenQuanYi Zen Hei"/>
        <family val="2"/>
      </rPr>
      <t xml:space="preserve">）。</t>
    </r>
  </si>
  <si>
    <t xml:space="preserve">/tmp/out/01-Q08.txt</t>
  </si>
  <si>
    <t xml:space="preserve">比較</t>
  </si>
  <si>
    <r>
      <rPr>
        <sz val="11"/>
        <rFont val="Noto Sans JP"/>
        <family val="0"/>
        <charset val="1"/>
      </rPr>
      <t xml:space="preserve">B</t>
    </r>
    <r>
      <rPr>
        <sz val="11"/>
        <rFont val="WenQuanYi Zen Hei"/>
        <family val="2"/>
      </rPr>
      <t xml:space="preserve">案は文書別の権限制御に対応し、</t>
    </r>
    <r>
      <rPr>
        <sz val="11"/>
        <rFont val="Noto Sans JP"/>
        <family val="0"/>
        <charset val="1"/>
      </rPr>
      <t xml:space="preserve">A</t>
    </r>
    <r>
      <rPr>
        <sz val="11"/>
        <rFont val="WenQuanYi Zen Hei"/>
        <family val="2"/>
      </rPr>
      <t xml:space="preserve">案は不足する。</t>
    </r>
  </si>
  <si>
    <t xml:space="preserve">6</t>
  </si>
  <si>
    <r>
      <rPr>
        <sz val="11"/>
        <rFont val="Noto Sans JP"/>
        <family val="0"/>
        <charset val="1"/>
      </rPr>
      <t xml:space="preserve">B</t>
    </r>
    <r>
      <rPr>
        <sz val="11"/>
        <rFont val="WenQuanYi Zen Hei"/>
        <family val="2"/>
      </rPr>
      <t xml:space="preserve">案（文書検索連携）は文書別の権限制御に対応している点が</t>
    </r>
    <r>
      <rPr>
        <sz val="11"/>
        <rFont val="Noto Sans JP"/>
        <family val="0"/>
        <charset val="1"/>
      </rPr>
      <t xml:space="preserve">A</t>
    </r>
    <r>
      <rPr>
        <sz val="11"/>
        <rFont val="WenQuanYi Zen Hei"/>
        <family val="2"/>
      </rPr>
      <t xml:space="preserve">案より優れています。</t>
    </r>
    <r>
      <rPr>
        <sz val="11"/>
        <rFont val="Noto Sans JP"/>
        <family val="0"/>
        <charset val="1"/>
      </rPr>
      <t xml:space="preserve">A</t>
    </r>
    <r>
      <rPr>
        <sz val="11"/>
        <rFont val="WenQuanYi Zen Hei"/>
        <family val="2"/>
      </rPr>
      <t xml:space="preserve">案（汎用チャット）は「文書別の権限制御が不足」と評価されています（スライド</t>
    </r>
    <r>
      <rPr>
        <sz val="11"/>
        <rFont val="Noto Sans JP"/>
        <family val="0"/>
        <charset val="1"/>
      </rPr>
      <t xml:space="preserve">6</t>
    </r>
    <r>
      <rPr>
        <sz val="11"/>
        <rFont val="WenQuanYi Zen Hei"/>
        <family val="2"/>
      </rPr>
      <t xml:space="preserve">）。</t>
    </r>
    <r>
      <rPr>
        <sz val="11"/>
        <rFont val="Noto Sans JP"/>
        <family val="0"/>
        <charset val="1"/>
      </rPr>
      <t xml:space="preserve">B</t>
    </r>
    <r>
      <rPr>
        <sz val="11"/>
        <rFont val="WenQuanYi Zen Hei"/>
        <family val="2"/>
      </rPr>
      <t xml:space="preserve">案では、社員の閲覧権限に合わせて検索結果を絞り込み、権限内の文書だけを検索します（スライド</t>
    </r>
    <r>
      <rPr>
        <sz val="11"/>
        <rFont val="Noto Sans JP"/>
        <family val="0"/>
        <charset val="1"/>
      </rPr>
      <t xml:space="preserve">5</t>
    </r>
    <r>
      <rPr>
        <sz val="11"/>
        <rFont val="WenQuanYi Zen Hei"/>
        <family val="2"/>
      </rPr>
      <t xml:space="preserve">）。</t>
    </r>
  </si>
  <si>
    <t xml:space="preserve">/tmp/out/01-Q09.txt</t>
  </si>
  <si>
    <r>
      <rPr>
        <sz val="11"/>
        <rFont val="Noto Sans JP"/>
        <family val="0"/>
        <charset val="1"/>
      </rPr>
      <t xml:space="preserve">240</t>
    </r>
    <r>
      <rPr>
        <sz val="11"/>
        <rFont val="WenQuanYi Zen Hei"/>
        <family val="2"/>
      </rPr>
      <t xml:space="preserve">－</t>
    </r>
    <r>
      <rPr>
        <sz val="11"/>
        <rFont val="Noto Sans JP"/>
        <family val="0"/>
        <charset val="1"/>
      </rPr>
      <t xml:space="preserve">80</t>
    </r>
    <r>
      <rPr>
        <sz val="11"/>
        <rFont val="WenQuanYi Zen Hei"/>
        <family val="2"/>
      </rPr>
      <t xml:space="preserve">＝</t>
    </r>
    <r>
      <rPr>
        <sz val="11"/>
        <rFont val="Noto Sans JP"/>
        <family val="0"/>
        <charset val="1"/>
      </rPr>
      <t xml:space="preserve">160</t>
    </r>
    <r>
      <rPr>
        <sz val="11"/>
        <rFont val="WenQuanYi Zen Hei"/>
        <family val="2"/>
      </rPr>
      <t xml:space="preserve">万円。</t>
    </r>
  </si>
  <si>
    <r>
      <rPr>
        <sz val="11"/>
        <rFont val="Noto Sans JP"/>
        <family val="0"/>
        <charset val="1"/>
      </rPr>
      <t xml:space="preserve">B</t>
    </r>
    <r>
      <rPr>
        <sz val="11"/>
        <rFont val="WenQuanYi Zen Hei"/>
        <family val="2"/>
      </rPr>
      <t xml:space="preserve">案と</t>
    </r>
    <r>
      <rPr>
        <sz val="11"/>
        <rFont val="Noto Sans JP"/>
        <family val="0"/>
        <charset val="1"/>
      </rPr>
      <t xml:space="preserve">A</t>
    </r>
    <r>
      <rPr>
        <sz val="11"/>
        <rFont val="WenQuanYi Zen Hei"/>
        <family val="2"/>
      </rPr>
      <t xml:space="preserve">案の初期費用差は</t>
    </r>
    <r>
      <rPr>
        <sz val="11"/>
        <rFont val="Noto Sans JP"/>
        <family val="0"/>
        <charset val="1"/>
      </rPr>
      <t xml:space="preserve">160</t>
    </r>
    <r>
      <rPr>
        <sz val="11"/>
        <rFont val="WenQuanYi Zen Hei"/>
        <family val="2"/>
      </rPr>
      <t xml:space="preserve">万円です（</t>
    </r>
    <r>
      <rPr>
        <sz val="11"/>
        <rFont val="Noto Sans JP"/>
        <family val="0"/>
        <charset val="1"/>
      </rPr>
      <t xml:space="preserve">B</t>
    </r>
    <r>
      <rPr>
        <sz val="11"/>
        <rFont val="WenQuanYi Zen Hei"/>
        <family val="2"/>
      </rPr>
      <t xml:space="preserve">案</t>
    </r>
    <r>
      <rPr>
        <sz val="11"/>
        <rFont val="Noto Sans JP"/>
        <family val="0"/>
        <charset val="1"/>
      </rPr>
      <t xml:space="preserve">240</t>
    </r>
    <r>
      <rPr>
        <sz val="11"/>
        <rFont val="WenQuanYi Zen Hei"/>
        <family val="2"/>
      </rPr>
      <t xml:space="preserve">万円－</t>
    </r>
    <r>
      <rPr>
        <sz val="11"/>
        <rFont val="Noto Sans JP"/>
        <family val="0"/>
        <charset val="1"/>
      </rPr>
      <t xml:space="preserve">A</t>
    </r>
    <r>
      <rPr>
        <sz val="11"/>
        <rFont val="WenQuanYi Zen Hei"/>
        <family val="2"/>
      </rPr>
      <t xml:space="preserve">案</t>
    </r>
    <r>
      <rPr>
        <sz val="11"/>
        <rFont val="Noto Sans JP"/>
        <family val="0"/>
        <charset val="1"/>
      </rPr>
      <t xml:space="preserve">80</t>
    </r>
    <r>
      <rPr>
        <sz val="11"/>
        <rFont val="WenQuanYi Zen Hei"/>
        <family val="2"/>
      </rPr>
      <t xml:space="preserve">万円、いずれも税抜の概算。スライド</t>
    </r>
    <r>
      <rPr>
        <sz val="11"/>
        <rFont val="Noto Sans JP"/>
        <family val="0"/>
        <charset val="1"/>
      </rPr>
      <t xml:space="preserve">6</t>
    </r>
    <r>
      <rPr>
        <sz val="11"/>
        <rFont val="WenQuanYi Zen Hei"/>
        <family val="2"/>
      </rPr>
      <t xml:space="preserve">「導入方式の比較」より。</t>
    </r>
    <r>
      <rPr>
        <sz val="11"/>
        <rFont val="Noto Sans JP"/>
        <family val="0"/>
        <charset val="1"/>
      </rPr>
      <t xml:space="preserve">B</t>
    </r>
    <r>
      <rPr>
        <sz val="11"/>
        <rFont val="WenQuanYi Zen Hei"/>
        <family val="2"/>
      </rPr>
      <t xml:space="preserve">案の</t>
    </r>
    <r>
      <rPr>
        <sz val="11"/>
        <rFont val="Noto Sans JP"/>
        <family val="0"/>
        <charset val="1"/>
      </rPr>
      <t xml:space="preserve">240</t>
    </r>
    <r>
      <rPr>
        <sz val="11"/>
        <rFont val="WenQuanYi Zen Hei"/>
        <family val="2"/>
      </rPr>
      <t xml:space="preserve">万円には評価・研修費を含みます）。</t>
    </r>
  </si>
  <si>
    <t xml:space="preserve">/tmp/out/01-Q10.txt</t>
  </si>
  <si>
    <t xml:space="preserve">グラフ読解</t>
  </si>
  <si>
    <r>
      <rPr>
        <sz val="11"/>
        <rFont val="Noto Sans JP"/>
        <family val="0"/>
        <charset val="1"/>
      </rPr>
      <t xml:space="preserve">180</t>
    </r>
    <r>
      <rPr>
        <sz val="11"/>
        <rFont val="WenQuanYi Zen Hei"/>
        <family val="2"/>
      </rPr>
      <t xml:space="preserve">時間／月。</t>
    </r>
  </si>
  <si>
    <t xml:space="preserve">7</t>
  </si>
  <si>
    <r>
      <rPr>
        <sz val="11"/>
        <rFont val="WenQuanYi Zen Hei"/>
        <family val="2"/>
      </rPr>
      <t xml:space="preserve">導入後に残る対象業務の月間工数は</t>
    </r>
    <r>
      <rPr>
        <sz val="11"/>
        <rFont val="Noto Sans JP"/>
        <family val="0"/>
        <charset val="1"/>
      </rPr>
      <t xml:space="preserve">180</t>
    </r>
    <r>
      <rPr>
        <sz val="11"/>
        <rFont val="WenQuanYi Zen Hei"/>
        <family val="2"/>
      </rPr>
      <t xml:space="preserve">時間です。
根拠：
</t>
    </r>
    <r>
      <rPr>
        <sz val="11"/>
        <rFont val="Noto Sans JP"/>
        <family val="0"/>
        <charset val="1"/>
      </rPr>
      <t xml:space="preserve">- </t>
    </r>
    <r>
      <rPr>
        <sz val="11"/>
        <rFont val="WenQuanYi Zen Hei"/>
        <family val="2"/>
      </rPr>
      <t xml:space="preserve">スライド</t>
    </r>
    <r>
      <rPr>
        <sz val="11"/>
        <rFont val="Noto Sans JP"/>
        <family val="0"/>
        <charset val="1"/>
      </rPr>
      <t xml:space="preserve">7</t>
    </r>
    <r>
      <rPr>
        <sz val="11"/>
        <rFont val="WenQuanYi Zen Hei"/>
        <family val="2"/>
      </rPr>
      <t xml:space="preserve">のグラフ「導入前後の月間工数（対象業務のみ）」で、導入後の値は</t>
    </r>
    <r>
      <rPr>
        <sz val="11"/>
        <rFont val="Noto Sans JP"/>
        <family val="0"/>
        <charset val="1"/>
      </rPr>
      <t xml:space="preserve">180</t>
    </r>
    <r>
      <rPr>
        <sz val="11"/>
        <rFont val="WenQuanYi Zen Hei"/>
        <family val="2"/>
      </rPr>
      <t xml:space="preserve">時間です。
</t>
    </r>
    <r>
      <rPr>
        <sz val="11"/>
        <rFont val="Noto Sans JP"/>
        <family val="0"/>
        <charset val="1"/>
      </rPr>
      <t xml:space="preserve">- </t>
    </r>
    <r>
      <rPr>
        <sz val="11"/>
        <rFont val="WenQuanYi Zen Hei"/>
        <family val="2"/>
      </rPr>
      <t xml:space="preserve">計算でも同じ値になります。スライド</t>
    </r>
    <r>
      <rPr>
        <sz val="11"/>
        <rFont val="Noto Sans JP"/>
        <family val="0"/>
        <charset val="1"/>
      </rPr>
      <t xml:space="preserve">3</t>
    </r>
    <r>
      <rPr>
        <sz val="11"/>
        <rFont val="WenQuanYi Zen Hei"/>
        <family val="2"/>
      </rPr>
      <t xml:space="preserve">の対象業務は規程確認</t>
    </r>
    <r>
      <rPr>
        <sz val="11"/>
        <rFont val="Noto Sans JP"/>
        <family val="0"/>
        <charset val="1"/>
      </rPr>
      <t xml:space="preserve">120</t>
    </r>
    <r>
      <rPr>
        <sz val="11"/>
        <rFont val="WenQuanYi Zen Hei"/>
        <family val="2"/>
      </rPr>
      <t xml:space="preserve">時間と製品</t>
    </r>
    <r>
      <rPr>
        <sz val="11"/>
        <rFont val="Noto Sans JP"/>
        <family val="0"/>
        <charset val="1"/>
      </rPr>
      <t xml:space="preserve">FAQ300</t>
    </r>
    <r>
      <rPr>
        <sz val="11"/>
        <rFont val="WenQuanYi Zen Hei"/>
        <family val="2"/>
      </rPr>
      <t xml:space="preserve">時間で、合計</t>
    </r>
    <r>
      <rPr>
        <sz val="11"/>
        <rFont val="Noto Sans JP"/>
        <family val="0"/>
        <charset val="1"/>
      </rPr>
      <t xml:space="preserve">420</t>
    </r>
    <r>
      <rPr>
        <sz val="11"/>
        <rFont val="WenQuanYi Zen Hei"/>
        <family val="2"/>
      </rPr>
      <t xml:space="preserve">時間です（案件情報照会</t>
    </r>
    <r>
      <rPr>
        <sz val="11"/>
        <rFont val="Noto Sans JP"/>
        <family val="0"/>
        <charset val="1"/>
      </rPr>
      <t xml:space="preserve">180</t>
    </r>
    <r>
      <rPr>
        <sz val="11"/>
        <rFont val="WenQuanYi Zen Hei"/>
        <family val="2"/>
      </rPr>
      <t xml:space="preserve">時間は対象外）。ここから削減想定の</t>
    </r>
    <r>
      <rPr>
        <sz val="11"/>
        <rFont val="Noto Sans JP"/>
        <family val="0"/>
        <charset val="1"/>
      </rPr>
      <t xml:space="preserve">240</t>
    </r>
    <r>
      <rPr>
        <sz val="11"/>
        <rFont val="WenQuanYi Zen Hei"/>
        <family val="2"/>
      </rPr>
      <t xml:space="preserve">時間を引くと、</t>
    </r>
    <r>
      <rPr>
        <sz val="11"/>
        <rFont val="Noto Sans JP"/>
        <family val="0"/>
        <charset val="1"/>
      </rPr>
      <t xml:space="preserve">420</t>
    </r>
    <r>
      <rPr>
        <sz val="11"/>
        <rFont val="WenQuanYi Zen Hei"/>
        <family val="2"/>
      </rPr>
      <t xml:space="preserve">時間－</t>
    </r>
    <r>
      <rPr>
        <sz val="11"/>
        <rFont val="Noto Sans JP"/>
        <family val="0"/>
        <charset val="1"/>
      </rPr>
      <t xml:space="preserve">240</t>
    </r>
    <r>
      <rPr>
        <sz val="11"/>
        <rFont val="WenQuanYi Zen Hei"/>
        <family val="2"/>
      </rPr>
      <t xml:space="preserve">時間＝</t>
    </r>
    <r>
      <rPr>
        <sz val="11"/>
        <rFont val="Noto Sans JP"/>
        <family val="0"/>
        <charset val="1"/>
      </rPr>
      <t xml:space="preserve">180</t>
    </r>
    <r>
      <rPr>
        <sz val="11"/>
        <rFont val="WenQuanYi Zen Hei"/>
        <family val="2"/>
      </rPr>
      <t xml:space="preserve">時間です。
注意：この値は試算です（スライド</t>
    </r>
    <r>
      <rPr>
        <sz val="11"/>
        <rFont val="Noto Sans JP"/>
        <family val="0"/>
        <charset val="1"/>
      </rPr>
      <t xml:space="preserve">7</t>
    </r>
    <r>
      <rPr>
        <sz val="11"/>
        <rFont val="WenQuanYi Zen Hei"/>
        <family val="2"/>
      </rPr>
      <t xml:space="preserve">の注記）。</t>
    </r>
  </si>
  <si>
    <t xml:space="preserve">/tmp/out/01-Q11.txt</t>
  </si>
  <si>
    <r>
      <rPr>
        <sz val="11"/>
        <rFont val="Noto Sans JP"/>
        <family val="0"/>
        <charset val="1"/>
      </rPr>
      <t xml:space="preserve">(420</t>
    </r>
    <r>
      <rPr>
        <sz val="11"/>
        <rFont val="WenQuanYi Zen Hei"/>
        <family val="2"/>
      </rPr>
      <t xml:space="preserve">－</t>
    </r>
    <r>
      <rPr>
        <sz val="11"/>
        <rFont val="Noto Sans JP"/>
        <family val="0"/>
        <charset val="1"/>
      </rPr>
      <t xml:space="preserve">180)÷420×100</t>
    </r>
    <r>
      <rPr>
        <sz val="11"/>
        <rFont val="WenQuanYi Zen Hei"/>
        <family val="2"/>
      </rPr>
      <t xml:space="preserve">＝</t>
    </r>
    <r>
      <rPr>
        <sz val="11"/>
        <rFont val="Noto Sans JP"/>
        <family val="0"/>
        <charset val="1"/>
      </rPr>
      <t xml:space="preserve">57.1%</t>
    </r>
    <r>
      <rPr>
        <sz val="11"/>
        <rFont val="WenQuanYi Zen Hei"/>
        <family val="2"/>
      </rPr>
      <t xml:space="preserve">。</t>
    </r>
  </si>
  <si>
    <r>
      <rPr>
        <sz val="11"/>
        <rFont val="WenQuanYi Zen Hei"/>
        <family val="2"/>
      </rPr>
      <t xml:space="preserve">対象業務の工数削減率は約</t>
    </r>
    <r>
      <rPr>
        <sz val="11"/>
        <rFont val="Noto Sans JP"/>
        <family val="0"/>
        <charset val="1"/>
      </rPr>
      <t xml:space="preserve">57.1%</t>
    </r>
    <r>
      <rPr>
        <sz val="11"/>
        <rFont val="WenQuanYi Zen Hei"/>
        <family val="2"/>
      </rPr>
      <t xml:space="preserve">です。
計算：削減工数</t>
    </r>
    <r>
      <rPr>
        <sz val="11"/>
        <rFont val="Noto Sans JP"/>
        <family val="0"/>
        <charset val="1"/>
      </rPr>
      <t xml:space="preserve">240</t>
    </r>
    <r>
      <rPr>
        <sz val="11"/>
        <rFont val="WenQuanYi Zen Hei"/>
        <family val="2"/>
      </rPr>
      <t xml:space="preserve">時間 </t>
    </r>
    <r>
      <rPr>
        <sz val="11"/>
        <rFont val="Noto Sans JP"/>
        <family val="0"/>
        <charset val="1"/>
      </rPr>
      <t xml:space="preserve">÷ </t>
    </r>
    <r>
      <rPr>
        <sz val="11"/>
        <rFont val="WenQuanYi Zen Hei"/>
        <family val="2"/>
      </rPr>
      <t xml:space="preserve">導入前の対象業務工数</t>
    </r>
    <r>
      <rPr>
        <sz val="11"/>
        <rFont val="Noto Sans JP"/>
        <family val="0"/>
        <charset val="1"/>
      </rPr>
      <t xml:space="preserve">420</t>
    </r>
    <r>
      <rPr>
        <sz val="11"/>
        <rFont val="WenQuanYi Zen Hei"/>
        <family val="2"/>
      </rPr>
      <t xml:space="preserve">時間 </t>
    </r>
    <r>
      <rPr>
        <sz val="11"/>
        <rFont val="Noto Sans JP"/>
        <family val="0"/>
        <charset val="1"/>
      </rPr>
      <t xml:space="preserve">× 100 = 57.142…% → 57.1%
</t>
    </r>
    <r>
      <rPr>
        <sz val="11"/>
        <rFont val="WenQuanYi Zen Hei"/>
        <family val="2"/>
      </rPr>
      <t xml:space="preserve">根拠：
</t>
    </r>
    <r>
      <rPr>
        <sz val="11"/>
        <rFont val="Noto Sans JP"/>
        <family val="0"/>
        <charset val="1"/>
      </rPr>
      <t xml:space="preserve">- </t>
    </r>
    <r>
      <rPr>
        <sz val="11"/>
        <rFont val="WenQuanYi Zen Hei"/>
        <family val="2"/>
      </rPr>
      <t xml:space="preserve">スライド</t>
    </r>
    <r>
      <rPr>
        <sz val="11"/>
        <rFont val="Noto Sans JP"/>
        <family val="0"/>
        <charset val="1"/>
      </rPr>
      <t xml:space="preserve">7</t>
    </r>
    <r>
      <rPr>
        <sz val="11"/>
        <rFont val="WenQuanYi Zen Hei"/>
        <family val="2"/>
      </rPr>
      <t xml:space="preserve">：導入前</t>
    </r>
    <r>
      <rPr>
        <sz val="11"/>
        <rFont val="Noto Sans JP"/>
        <family val="0"/>
        <charset val="1"/>
      </rPr>
      <t xml:space="preserve">420</t>
    </r>
    <r>
      <rPr>
        <sz val="11"/>
        <rFont val="WenQuanYi Zen Hei"/>
        <family val="2"/>
      </rPr>
      <t xml:space="preserve">時間、導入後</t>
    </r>
    <r>
      <rPr>
        <sz val="11"/>
        <rFont val="Noto Sans JP"/>
        <family val="0"/>
        <charset val="1"/>
      </rPr>
      <t xml:space="preserve">180</t>
    </r>
    <r>
      <rPr>
        <sz val="11"/>
        <rFont val="WenQuanYi Zen Hei"/>
        <family val="2"/>
      </rPr>
      <t xml:space="preserve">時間、削減想定</t>
    </r>
    <r>
      <rPr>
        <sz val="11"/>
        <rFont val="Noto Sans JP"/>
        <family val="0"/>
        <charset val="1"/>
      </rPr>
      <t xml:space="preserve">240</t>
    </r>
    <r>
      <rPr>
        <sz val="11"/>
        <rFont val="WenQuanYi Zen Hei"/>
        <family val="2"/>
      </rPr>
      <t xml:space="preserve">時間／月
</t>
    </r>
    <r>
      <rPr>
        <sz val="11"/>
        <rFont val="Noto Sans JP"/>
        <family val="0"/>
        <charset val="1"/>
      </rPr>
      <t xml:space="preserve">- </t>
    </r>
    <r>
      <rPr>
        <sz val="11"/>
        <rFont val="WenQuanYi Zen Hei"/>
        <family val="2"/>
      </rPr>
      <t xml:space="preserve">スライド</t>
    </r>
    <r>
      <rPr>
        <sz val="11"/>
        <rFont val="Noto Sans JP"/>
        <family val="0"/>
        <charset val="1"/>
      </rPr>
      <t xml:space="preserve">3</t>
    </r>
    <r>
      <rPr>
        <sz val="11"/>
        <rFont val="WenQuanYi Zen Hei"/>
        <family val="2"/>
      </rPr>
      <t xml:space="preserve">：対象業務は規程確認</t>
    </r>
    <r>
      <rPr>
        <sz val="11"/>
        <rFont val="Noto Sans JP"/>
        <family val="0"/>
        <charset val="1"/>
      </rPr>
      <t xml:space="preserve">120</t>
    </r>
    <r>
      <rPr>
        <sz val="11"/>
        <rFont val="WenQuanYi Zen Hei"/>
        <family val="2"/>
      </rPr>
      <t xml:space="preserve">時間＋製品</t>
    </r>
    <r>
      <rPr>
        <sz val="11"/>
        <rFont val="Noto Sans JP"/>
        <family val="0"/>
        <charset val="1"/>
      </rPr>
      <t xml:space="preserve">FAQ300</t>
    </r>
    <r>
      <rPr>
        <sz val="11"/>
        <rFont val="WenQuanYi Zen Hei"/>
        <family val="2"/>
      </rPr>
      <t xml:space="preserve">時間＝</t>
    </r>
    <r>
      <rPr>
        <sz val="11"/>
        <rFont val="Noto Sans JP"/>
        <family val="0"/>
        <charset val="1"/>
      </rPr>
      <t xml:space="preserve">420</t>
    </r>
    <r>
      <rPr>
        <sz val="11"/>
        <rFont val="WenQuanYi Zen Hei"/>
        <family val="2"/>
      </rPr>
      <t xml:space="preserve">時間（案件情報照会</t>
    </r>
    <r>
      <rPr>
        <sz val="11"/>
        <rFont val="Noto Sans JP"/>
        <family val="0"/>
        <charset val="1"/>
      </rPr>
      <t xml:space="preserve">180</t>
    </r>
    <r>
      <rPr>
        <sz val="11"/>
        <rFont val="WenQuanYi Zen Hei"/>
        <family val="2"/>
      </rPr>
      <t xml:space="preserve">時間は導入対象外のため除外）
注記：全体</t>
    </r>
    <r>
      <rPr>
        <sz val="11"/>
        <rFont val="Noto Sans JP"/>
        <family val="0"/>
        <charset val="1"/>
      </rPr>
      <t xml:space="preserve">600</t>
    </r>
    <r>
      <rPr>
        <sz val="11"/>
        <rFont val="WenQuanYi Zen Hei"/>
        <family val="2"/>
      </rPr>
      <t xml:space="preserve">時間を分母にすると</t>
    </r>
    <r>
      <rPr>
        <sz val="11"/>
        <rFont val="Noto Sans JP"/>
        <family val="0"/>
        <charset val="1"/>
      </rPr>
      <t xml:space="preserve">40.0%</t>
    </r>
    <r>
      <rPr>
        <sz val="11"/>
        <rFont val="WenQuanYi Zen Hei"/>
        <family val="2"/>
      </rPr>
      <t xml:space="preserve">になりますが、質問は「対象業務の」削減率のため分母は</t>
    </r>
    <r>
      <rPr>
        <sz val="11"/>
        <rFont val="Noto Sans JP"/>
        <family val="0"/>
        <charset val="1"/>
      </rPr>
      <t xml:space="preserve">420</t>
    </r>
    <r>
      <rPr>
        <sz val="11"/>
        <rFont val="WenQuanYi Zen Hei"/>
        <family val="2"/>
      </rPr>
      <t xml:space="preserve">時間です。また、この</t>
    </r>
    <r>
      <rPr>
        <sz val="11"/>
        <rFont val="Noto Sans JP"/>
        <family val="0"/>
        <charset val="1"/>
      </rPr>
      <t xml:space="preserve">57.1%</t>
    </r>
    <r>
      <rPr>
        <sz val="11"/>
        <rFont val="WenQuanYi Zen Hei"/>
        <family val="2"/>
      </rPr>
      <t xml:space="preserve">は月間工数の削減率です。スライド</t>
    </r>
    <r>
      <rPr>
        <sz val="11"/>
        <rFont val="Noto Sans JP"/>
        <family val="0"/>
        <charset val="1"/>
      </rPr>
      <t xml:space="preserve">9</t>
    </r>
    <r>
      <rPr>
        <sz val="11"/>
        <rFont val="WenQuanYi Zen Hei"/>
        <family val="2"/>
      </rPr>
      <t xml:space="preserve">の判定基準「平均対応時間削減率</t>
    </r>
    <r>
      <rPr>
        <sz val="11"/>
        <rFont val="Noto Sans JP"/>
        <family val="0"/>
        <charset val="1"/>
      </rPr>
      <t xml:space="preserve">40%</t>
    </r>
    <r>
      <rPr>
        <sz val="11"/>
        <rFont val="WenQuanYi Zen Hei"/>
        <family val="2"/>
      </rPr>
      <t xml:space="preserve">以上」とは指標が異なります。</t>
    </r>
  </si>
  <si>
    <t xml:space="preserve">/tmp/out/01-Q12.txt</t>
  </si>
  <si>
    <t xml:space="preserve">複数スライド</t>
  </si>
  <si>
    <r>
      <rPr>
        <sz val="11"/>
        <rFont val="Noto Sans JP"/>
        <family val="0"/>
        <charset val="1"/>
      </rPr>
      <t xml:space="preserve">180</t>
    </r>
    <r>
      <rPr>
        <sz val="11"/>
        <rFont val="WenQuanYi Zen Hei"/>
        <family val="2"/>
      </rPr>
      <t xml:space="preserve">＋</t>
    </r>
    <r>
      <rPr>
        <sz val="11"/>
        <rFont val="Noto Sans JP"/>
        <family val="0"/>
        <charset val="1"/>
      </rPr>
      <t xml:space="preserve">180</t>
    </r>
    <r>
      <rPr>
        <sz val="11"/>
        <rFont val="WenQuanYi Zen Hei"/>
        <family val="2"/>
      </rPr>
      <t xml:space="preserve">＝</t>
    </r>
    <r>
      <rPr>
        <sz val="11"/>
        <rFont val="Noto Sans JP"/>
        <family val="0"/>
        <charset val="1"/>
      </rPr>
      <t xml:space="preserve">360</t>
    </r>
    <r>
      <rPr>
        <sz val="11"/>
        <rFont val="WenQuanYi Zen Hei"/>
        <family val="2"/>
      </rPr>
      <t xml:space="preserve">時間／月。</t>
    </r>
  </si>
  <si>
    <t xml:space="preserve">3,7</t>
  </si>
  <si>
    <r>
      <rPr>
        <sz val="11"/>
        <rFont val="Noto Sans JP"/>
        <family val="0"/>
        <charset val="1"/>
      </rPr>
      <t xml:space="preserve">360</t>
    </r>
    <r>
      <rPr>
        <sz val="11"/>
        <rFont val="WenQuanYi Zen Hei"/>
        <family val="2"/>
      </rPr>
      <t xml:space="preserve">時間／月（対象業務の導入後</t>
    </r>
    <r>
      <rPr>
        <sz val="11"/>
        <rFont val="Noto Sans JP"/>
        <family val="0"/>
        <charset val="1"/>
      </rPr>
      <t xml:space="preserve">180</t>
    </r>
    <r>
      <rPr>
        <sz val="11"/>
        <rFont val="WenQuanYi Zen Hei"/>
        <family val="2"/>
      </rPr>
      <t xml:space="preserve">時間＋対象外の案件情報照会</t>
    </r>
    <r>
      <rPr>
        <sz val="11"/>
        <rFont val="Noto Sans JP"/>
        <family val="0"/>
        <charset val="1"/>
      </rPr>
      <t xml:space="preserve">180</t>
    </r>
    <r>
      <rPr>
        <sz val="11"/>
        <rFont val="WenQuanYi Zen Hei"/>
        <family val="2"/>
      </rPr>
      <t xml:space="preserve">時間）。導入前</t>
    </r>
    <r>
      <rPr>
        <sz val="11"/>
        <rFont val="Noto Sans JP"/>
        <family val="0"/>
        <charset val="1"/>
      </rPr>
      <t xml:space="preserve">600</t>
    </r>
    <r>
      <rPr>
        <sz val="11"/>
        <rFont val="WenQuanYi Zen Hei"/>
        <family val="2"/>
      </rPr>
      <t xml:space="preserve">時間から</t>
    </r>
    <r>
      <rPr>
        <sz val="11"/>
        <rFont val="Noto Sans JP"/>
        <family val="0"/>
        <charset val="1"/>
      </rPr>
      <t xml:space="preserve">240</t>
    </r>
    <r>
      <rPr>
        <sz val="11"/>
        <rFont val="WenQuanYi Zen Hei"/>
        <family val="2"/>
      </rPr>
      <t xml:space="preserve">時間削減。</t>
    </r>
  </si>
  <si>
    <t xml:space="preserve">/tmp/out/01-Q13.txt</t>
  </si>
  <si>
    <r>
      <rPr>
        <sz val="11"/>
        <rFont val="Noto Sans JP"/>
        <family val="0"/>
        <charset val="1"/>
      </rPr>
      <t xml:space="preserve">2026</t>
    </r>
    <r>
      <rPr>
        <sz val="11"/>
        <rFont val="WenQuanYi Zen Hei"/>
        <family val="2"/>
      </rPr>
      <t xml:space="preserve">年</t>
    </r>
    <r>
      <rPr>
        <sz val="11"/>
        <rFont val="Noto Sans JP"/>
        <family val="0"/>
        <charset val="1"/>
      </rPr>
      <t xml:space="preserve">12</t>
    </r>
    <r>
      <rPr>
        <sz val="11"/>
        <rFont val="WenQuanYi Zen Hei"/>
        <family val="2"/>
      </rPr>
      <t xml:space="preserve">月</t>
    </r>
    <r>
      <rPr>
        <sz val="11"/>
        <rFont val="Noto Sans JP"/>
        <family val="0"/>
        <charset val="1"/>
      </rPr>
      <t xml:space="preserve">7</t>
    </r>
    <r>
      <rPr>
        <sz val="11"/>
        <rFont val="WenQuanYi Zen Hei"/>
        <family val="2"/>
      </rPr>
      <t xml:space="preserve">日～</t>
    </r>
    <r>
      <rPr>
        <sz val="11"/>
        <rFont val="Noto Sans JP"/>
        <family val="0"/>
        <charset val="1"/>
      </rPr>
      <t xml:space="preserve">12</t>
    </r>
    <r>
      <rPr>
        <sz val="11"/>
        <rFont val="WenQuanYi Zen Hei"/>
        <family val="2"/>
      </rPr>
      <t xml:space="preserve">月</t>
    </r>
    <r>
      <rPr>
        <sz val="11"/>
        <rFont val="Noto Sans JP"/>
        <family val="0"/>
        <charset val="1"/>
      </rPr>
      <t xml:space="preserve">18</t>
    </r>
    <r>
      <rPr>
        <sz val="11"/>
        <rFont val="WenQuanYi Zen Hei"/>
        <family val="2"/>
      </rPr>
      <t xml:space="preserve">日、営業部。</t>
    </r>
  </si>
  <si>
    <t xml:space="preserve">8</t>
  </si>
  <si>
    <r>
      <rPr>
        <sz val="11"/>
        <rFont val="Noto Sans JP"/>
        <family val="0"/>
        <charset val="1"/>
      </rPr>
      <t xml:space="preserve">80</t>
    </r>
    <r>
      <rPr>
        <sz val="11"/>
        <rFont val="WenQuanYi Zen Hei"/>
        <family val="2"/>
      </rPr>
      <t xml:space="preserve">名による利用・効果測定は、</t>
    </r>
    <r>
      <rPr>
        <sz val="11"/>
        <rFont val="Noto Sans JP"/>
        <family val="0"/>
        <charset val="1"/>
      </rPr>
      <t xml:space="preserve">2026</t>
    </r>
    <r>
      <rPr>
        <sz val="11"/>
        <rFont val="WenQuanYi Zen Hei"/>
        <family val="2"/>
      </rPr>
      <t xml:space="preserve">年</t>
    </r>
    <r>
      <rPr>
        <sz val="11"/>
        <rFont val="Noto Sans JP"/>
        <family val="0"/>
        <charset val="1"/>
      </rPr>
      <t xml:space="preserve">12</t>
    </r>
    <r>
      <rPr>
        <sz val="11"/>
        <rFont val="WenQuanYi Zen Hei"/>
        <family val="2"/>
      </rPr>
      <t xml:space="preserve">月</t>
    </r>
    <r>
      <rPr>
        <sz val="11"/>
        <rFont val="Noto Sans JP"/>
        <family val="0"/>
        <charset val="1"/>
      </rPr>
      <t xml:space="preserve">7</t>
    </r>
    <r>
      <rPr>
        <sz val="11"/>
        <rFont val="WenQuanYi Zen Hei"/>
        <family val="2"/>
      </rPr>
      <t xml:space="preserve">日～</t>
    </r>
    <r>
      <rPr>
        <sz val="11"/>
        <rFont val="Noto Sans JP"/>
        <family val="0"/>
        <charset val="1"/>
      </rPr>
      <t xml:space="preserve">12</t>
    </r>
    <r>
      <rPr>
        <sz val="11"/>
        <rFont val="WenQuanYi Zen Hei"/>
        <family val="2"/>
      </rPr>
      <t xml:space="preserve">月</t>
    </r>
    <r>
      <rPr>
        <sz val="11"/>
        <rFont val="Noto Sans JP"/>
        <family val="0"/>
        <charset val="1"/>
      </rPr>
      <t xml:space="preserve">18</t>
    </r>
    <r>
      <rPr>
        <sz val="11"/>
        <rFont val="WenQuanYi Zen Hei"/>
        <family val="2"/>
      </rPr>
      <t xml:space="preserve">日に営業部が行います（資料のスケジュール表より）。</t>
    </r>
  </si>
  <si>
    <t xml:space="preserve">/tmp/out/01-Q14.txt</t>
  </si>
  <si>
    <r>
      <rPr>
        <sz val="11"/>
        <rFont val="WenQuanYi Zen Hei"/>
        <family val="2"/>
      </rPr>
      <t xml:space="preserve">できない。時間削減率が</t>
    </r>
    <r>
      <rPr>
        <sz val="11"/>
        <rFont val="Noto Sans JP"/>
        <family val="0"/>
        <charset val="1"/>
      </rPr>
      <t xml:space="preserve">40%</t>
    </r>
    <r>
      <rPr>
        <sz val="11"/>
        <rFont val="WenQuanYi Zen Hei"/>
        <family val="2"/>
      </rPr>
      <t xml:space="preserve">以上の条件を満たさない。</t>
    </r>
  </si>
  <si>
    <t xml:space="preserve">9</t>
  </si>
  <si>
    <r>
      <rPr>
        <sz val="11"/>
        <rFont val="WenQuanYi Zen Hei"/>
        <family val="2"/>
      </rPr>
      <t xml:space="preserve">いいえ、申請できません。
スライド</t>
    </r>
    <r>
      <rPr>
        <sz val="11"/>
        <rFont val="Noto Sans JP"/>
        <family val="0"/>
        <charset val="1"/>
      </rPr>
      <t xml:space="preserve">9</t>
    </r>
    <r>
      <rPr>
        <sz val="11"/>
        <rFont val="WenQuanYi Zen Hei"/>
        <family val="2"/>
      </rPr>
      <t xml:space="preserve">の判定基準では、次の</t>
    </r>
    <r>
      <rPr>
        <sz val="11"/>
        <rFont val="Noto Sans JP"/>
        <family val="0"/>
        <charset val="1"/>
      </rPr>
      <t xml:space="preserve">3</t>
    </r>
    <r>
      <rPr>
        <sz val="11"/>
        <rFont val="WenQuanYi Zen Hei"/>
        <family val="2"/>
      </rPr>
      <t xml:space="preserve">条件をすべて満たした場合に限り本番展開を申請するとしています。
・回答正答率：</t>
    </r>
    <r>
      <rPr>
        <sz val="11"/>
        <rFont val="Noto Sans JP"/>
        <family val="0"/>
        <charset val="1"/>
      </rPr>
      <t xml:space="preserve">90%</t>
    </r>
    <r>
      <rPr>
        <sz val="11"/>
        <rFont val="WenQuanYi Zen Hei"/>
        <family val="2"/>
      </rPr>
      <t xml:space="preserve">以上（固定の評価問題</t>
    </r>
    <r>
      <rPr>
        <sz val="11"/>
        <rFont val="Noto Sans JP"/>
        <family val="0"/>
        <charset val="1"/>
      </rPr>
      <t xml:space="preserve">100</t>
    </r>
    <r>
      <rPr>
        <sz val="11"/>
        <rFont val="WenQuanYi Zen Hei"/>
        <family val="2"/>
      </rPr>
      <t xml:space="preserve">問で測定）
・権限外情報の漏えい：</t>
    </r>
    <r>
      <rPr>
        <sz val="11"/>
        <rFont val="Noto Sans JP"/>
        <family val="0"/>
        <charset val="1"/>
      </rPr>
      <t xml:space="preserve">0</t>
    </r>
    <r>
      <rPr>
        <sz val="11"/>
        <rFont val="WenQuanYi Zen Hei"/>
        <family val="2"/>
      </rPr>
      <t xml:space="preserve">件（権限違反テスト</t>
    </r>
    <r>
      <rPr>
        <sz val="11"/>
        <rFont val="Noto Sans JP"/>
        <family val="0"/>
        <charset val="1"/>
      </rPr>
      <t xml:space="preserve">200</t>
    </r>
    <r>
      <rPr>
        <sz val="11"/>
        <rFont val="WenQuanYi Zen Hei"/>
        <family val="2"/>
      </rPr>
      <t xml:space="preserve">件で測定）
・平均対応時間削減率：</t>
    </r>
    <r>
      <rPr>
        <sz val="11"/>
        <rFont val="Noto Sans JP"/>
        <family val="0"/>
        <charset val="1"/>
      </rPr>
      <t xml:space="preserve">40%</t>
    </r>
    <r>
      <rPr>
        <sz val="11"/>
        <rFont val="WenQuanYi Zen Hei"/>
        <family val="2"/>
      </rPr>
      <t xml:space="preserve">以上（対象業務の試行前後比較で測定）
今回の結果を当てはめると、正答率</t>
    </r>
    <r>
      <rPr>
        <sz val="11"/>
        <rFont val="Noto Sans JP"/>
        <family val="0"/>
        <charset val="1"/>
      </rPr>
      <t xml:space="preserve">92%</t>
    </r>
    <r>
      <rPr>
        <sz val="11"/>
        <rFont val="WenQuanYi Zen Hei"/>
        <family val="2"/>
      </rPr>
      <t xml:space="preserve">と漏えい</t>
    </r>
    <r>
      <rPr>
        <sz val="11"/>
        <rFont val="Noto Sans JP"/>
        <family val="0"/>
        <charset val="1"/>
      </rPr>
      <t xml:space="preserve">0</t>
    </r>
    <r>
      <rPr>
        <sz val="11"/>
        <rFont val="WenQuanYi Zen Hei"/>
        <family val="2"/>
      </rPr>
      <t xml:space="preserve">件は合格条件を満たしています。一方、時間削減率</t>
    </r>
    <r>
      <rPr>
        <sz val="11"/>
        <rFont val="Noto Sans JP"/>
        <family val="0"/>
        <charset val="1"/>
      </rPr>
      <t xml:space="preserve">35%</t>
    </r>
    <r>
      <rPr>
        <sz val="11"/>
        <rFont val="WenQuanYi Zen Hei"/>
        <family val="2"/>
      </rPr>
      <t xml:space="preserve">は基準の</t>
    </r>
    <r>
      <rPr>
        <sz val="11"/>
        <rFont val="Noto Sans JP"/>
        <family val="0"/>
        <charset val="1"/>
      </rPr>
      <t xml:space="preserve">40%</t>
    </r>
    <r>
      <rPr>
        <sz val="11"/>
        <rFont val="WenQuanYi Zen Hei"/>
        <family val="2"/>
      </rPr>
      <t xml:space="preserve">に</t>
    </r>
    <r>
      <rPr>
        <sz val="11"/>
        <rFont val="Noto Sans JP"/>
        <family val="0"/>
        <charset val="1"/>
      </rPr>
      <t xml:space="preserve">5</t>
    </r>
    <r>
      <rPr>
        <sz val="11"/>
        <rFont val="WenQuanYi Zen Hei"/>
        <family val="2"/>
      </rPr>
      <t xml:space="preserve">ポイント届きません。</t>
    </r>
    <r>
      <rPr>
        <sz val="11"/>
        <rFont val="Noto Sans JP"/>
        <family val="0"/>
        <charset val="1"/>
      </rPr>
      <t xml:space="preserve">1</t>
    </r>
    <r>
      <rPr>
        <sz val="11"/>
        <rFont val="WenQuanYi Zen Hei"/>
        <family val="2"/>
      </rPr>
      <t xml:space="preserve">つでも満たさない条件がある以上、本番展開は申請できません。</t>
    </r>
  </si>
  <si>
    <t xml:space="preserve">/tmp/out/01-Q15.txt</t>
  </si>
  <si>
    <t xml:space="preserve">試行を停止し、原因を解消して再評価する。</t>
  </si>
  <si>
    <r>
      <rPr>
        <sz val="11"/>
        <rFont val="WenQuanYi Zen Hei"/>
        <family val="2"/>
      </rPr>
      <t xml:space="preserve">試行を停止し、原因を解消したうえで再評価します。
根拠</t>
    </r>
    <r>
      <rPr>
        <sz val="11"/>
        <rFont val="Noto Sans JP"/>
        <family val="0"/>
        <charset val="1"/>
      </rPr>
      <t xml:space="preserve">: </t>
    </r>
    <r>
      <rPr>
        <sz val="11"/>
        <rFont val="WenQuanYi Zen Hei"/>
        <family val="2"/>
      </rPr>
      <t xml:space="preserve">スライド</t>
    </r>
    <r>
      <rPr>
        <sz val="11"/>
        <rFont val="Noto Sans JP"/>
        <family val="0"/>
        <charset val="1"/>
      </rPr>
      <t xml:space="preserve">9</t>
    </r>
    <r>
      <rPr>
        <sz val="11"/>
        <rFont val="WenQuanYi Zen Hei"/>
        <family val="2"/>
      </rPr>
      <t xml:space="preserve">「本番展開の判定基準」の注記に「漏えいを</t>
    </r>
    <r>
      <rPr>
        <sz val="11"/>
        <rFont val="Noto Sans JP"/>
        <family val="0"/>
        <charset val="1"/>
      </rPr>
      <t xml:space="preserve">1</t>
    </r>
    <r>
      <rPr>
        <sz val="11"/>
        <rFont val="WenQuanYi Zen Hei"/>
        <family val="2"/>
      </rPr>
      <t xml:space="preserve">件でも検知したら試行を停止し、原因を解消して再評価する」とあります。判定基準では「権限外情報の漏えい」の合格条件は</t>
    </r>
    <r>
      <rPr>
        <sz val="11"/>
        <rFont val="Noto Sans JP"/>
        <family val="0"/>
        <charset val="1"/>
      </rPr>
      <t xml:space="preserve">0</t>
    </r>
    <r>
      <rPr>
        <sz val="11"/>
        <rFont val="WenQuanYi Zen Hei"/>
        <family val="2"/>
      </rPr>
      <t xml:space="preserve">件で、権限違反テスト</t>
    </r>
    <r>
      <rPr>
        <sz val="11"/>
        <rFont val="Noto Sans JP"/>
        <family val="0"/>
        <charset val="1"/>
      </rPr>
      <t xml:space="preserve">200</t>
    </r>
    <r>
      <rPr>
        <sz val="11"/>
        <rFont val="WenQuanYi Zen Hei"/>
        <family val="2"/>
      </rPr>
      <t xml:space="preserve">件で測ります。この条件を満たさないと本番展開は申請できません（</t>
    </r>
    <r>
      <rPr>
        <sz val="11"/>
        <rFont val="Noto Sans JP"/>
        <family val="0"/>
        <charset val="1"/>
      </rPr>
      <t xml:space="preserve">3</t>
    </r>
    <r>
      <rPr>
        <sz val="11"/>
        <rFont val="WenQuanYi Zen Hei"/>
        <family val="2"/>
      </rPr>
      <t xml:space="preserve">条件をすべて満たした場合のみ申請）。</t>
    </r>
  </si>
  <si>
    <t xml:space="preserve">/tmp/out/01-Q16.txt</t>
  </si>
  <si>
    <r>
      <rPr>
        <sz val="11"/>
        <rFont val="Noto Sans JP"/>
        <family val="0"/>
        <charset val="1"/>
      </rPr>
      <t xml:space="preserve">72</t>
    </r>
    <r>
      <rPr>
        <sz val="11"/>
        <rFont val="WenQuanYi Zen Hei"/>
        <family val="2"/>
      </rPr>
      <t xml:space="preserve">－</t>
    </r>
    <r>
      <rPr>
        <sz val="11"/>
        <rFont val="Noto Sans JP"/>
        <family val="0"/>
        <charset val="1"/>
      </rPr>
      <t xml:space="preserve">18</t>
    </r>
    <r>
      <rPr>
        <sz val="11"/>
        <rFont val="WenQuanYi Zen Hei"/>
        <family val="2"/>
      </rPr>
      <t xml:space="preserve">＝</t>
    </r>
    <r>
      <rPr>
        <sz val="11"/>
        <rFont val="Noto Sans JP"/>
        <family val="0"/>
        <charset val="1"/>
      </rPr>
      <t xml:space="preserve">54</t>
    </r>
    <r>
      <rPr>
        <sz val="11"/>
        <rFont val="WenQuanYi Zen Hei"/>
        <family val="2"/>
      </rPr>
      <t xml:space="preserve">万円相当／月。</t>
    </r>
    <r>
      <rPr>
        <sz val="11"/>
        <rFont val="Noto Sans JP"/>
        <family val="0"/>
        <charset val="1"/>
      </rPr>
      <t xml:space="preserve">240÷54</t>
    </r>
    <r>
      <rPr>
        <sz val="11"/>
        <rFont val="WenQuanYi Zen Hei"/>
        <family val="2"/>
      </rPr>
      <t xml:space="preserve">＝約</t>
    </r>
    <r>
      <rPr>
        <sz val="11"/>
        <rFont val="Noto Sans JP"/>
        <family val="0"/>
        <charset val="1"/>
      </rPr>
      <t xml:space="preserve">4.4</t>
    </r>
    <r>
      <rPr>
        <sz val="11"/>
        <rFont val="WenQuanYi Zen Hei"/>
        <family val="2"/>
      </rPr>
      <t xml:space="preserve">か月。</t>
    </r>
  </si>
  <si>
    <t xml:space="preserve">7,10</t>
  </si>
  <si>
    <r>
      <rPr>
        <sz val="11"/>
        <rFont val="WenQuanYi Zen Hei"/>
        <family val="2"/>
      </rPr>
      <t xml:space="preserve">月間純効果：</t>
    </r>
    <r>
      <rPr>
        <sz val="11"/>
        <rFont val="Noto Sans JP"/>
        <family val="0"/>
        <charset val="1"/>
      </rPr>
      <t xml:space="preserve">54</t>
    </r>
    <r>
      <rPr>
        <sz val="11"/>
        <rFont val="WenQuanYi Zen Hei"/>
        <family val="2"/>
      </rPr>
      <t xml:space="preserve">万円相当／月
　換算効果</t>
    </r>
    <r>
      <rPr>
        <sz val="11"/>
        <rFont val="Noto Sans JP"/>
        <family val="0"/>
        <charset val="1"/>
      </rPr>
      <t xml:space="preserve">72</t>
    </r>
    <r>
      <rPr>
        <sz val="11"/>
        <rFont val="WenQuanYi Zen Hei"/>
        <family val="2"/>
      </rPr>
      <t xml:space="preserve">万円相当（削減</t>
    </r>
    <r>
      <rPr>
        <sz val="11"/>
        <rFont val="Noto Sans JP"/>
        <family val="0"/>
        <charset val="1"/>
      </rPr>
      <t xml:space="preserve">240</t>
    </r>
    <r>
      <rPr>
        <sz val="11"/>
        <rFont val="WenQuanYi Zen Hei"/>
        <family val="2"/>
      </rPr>
      <t xml:space="preserve">時間／月 </t>
    </r>
    <r>
      <rPr>
        <sz val="11"/>
        <rFont val="Noto Sans JP"/>
        <family val="0"/>
        <charset val="1"/>
      </rPr>
      <t xml:space="preserve">× </t>
    </r>
    <r>
      <rPr>
        <sz val="11"/>
        <rFont val="WenQuanYi Zen Hei"/>
        <family val="2"/>
      </rPr>
      <t xml:space="preserve">単価</t>
    </r>
    <r>
      <rPr>
        <sz val="11"/>
        <rFont val="Noto Sans JP"/>
        <family val="0"/>
        <charset val="1"/>
      </rPr>
      <t xml:space="preserve">3,000</t>
    </r>
    <r>
      <rPr>
        <sz val="11"/>
        <rFont val="WenQuanYi Zen Hei"/>
        <family val="2"/>
      </rPr>
      <t xml:space="preserve">円／時間）－ 月額運用費</t>
    </r>
    <r>
      <rPr>
        <sz val="11"/>
        <rFont val="Noto Sans JP"/>
        <family val="0"/>
        <charset val="1"/>
      </rPr>
      <t xml:space="preserve">18</t>
    </r>
    <r>
      <rPr>
        <sz val="11"/>
        <rFont val="WenQuanYi Zen Hei"/>
        <family val="2"/>
      </rPr>
      <t xml:space="preserve">万円 ＝ </t>
    </r>
    <r>
      <rPr>
        <sz val="11"/>
        <rFont val="Noto Sans JP"/>
        <family val="0"/>
        <charset val="1"/>
      </rPr>
      <t xml:space="preserve">54</t>
    </r>
    <r>
      <rPr>
        <sz val="11"/>
        <rFont val="WenQuanYi Zen Hei"/>
        <family val="2"/>
      </rPr>
      <t xml:space="preserve">万円相当
単純回収期間：約</t>
    </r>
    <r>
      <rPr>
        <sz val="11"/>
        <rFont val="Noto Sans JP"/>
        <family val="0"/>
        <charset val="1"/>
      </rPr>
      <t xml:space="preserve">4.4</t>
    </r>
    <r>
      <rPr>
        <sz val="11"/>
        <rFont val="WenQuanYi Zen Hei"/>
        <family val="2"/>
      </rPr>
      <t xml:space="preserve">か月
　初期費用</t>
    </r>
    <r>
      <rPr>
        <sz val="11"/>
        <rFont val="Noto Sans JP"/>
        <family val="0"/>
        <charset val="1"/>
      </rPr>
      <t xml:space="preserve">240</t>
    </r>
    <r>
      <rPr>
        <sz val="11"/>
        <rFont val="WenQuanYi Zen Hei"/>
        <family val="2"/>
      </rPr>
      <t xml:space="preserve">万円 </t>
    </r>
    <r>
      <rPr>
        <sz val="11"/>
        <rFont val="Noto Sans JP"/>
        <family val="0"/>
        <charset val="1"/>
      </rPr>
      <t xml:space="preserve">÷ </t>
    </r>
    <r>
      <rPr>
        <sz val="11"/>
        <rFont val="WenQuanYi Zen Hei"/>
        <family val="2"/>
      </rPr>
      <t xml:space="preserve">月間純効果</t>
    </r>
    <r>
      <rPr>
        <sz val="11"/>
        <rFont val="Noto Sans JP"/>
        <family val="0"/>
        <charset val="1"/>
      </rPr>
      <t xml:space="preserve">54</t>
    </r>
    <r>
      <rPr>
        <sz val="11"/>
        <rFont val="WenQuanYi Zen Hei"/>
        <family val="2"/>
      </rPr>
      <t xml:space="preserve">万円 ＝ </t>
    </r>
    <r>
      <rPr>
        <sz val="11"/>
        <rFont val="Noto Sans JP"/>
        <family val="0"/>
        <charset val="1"/>
      </rPr>
      <t xml:space="preserve">4.44…</t>
    </r>
    <r>
      <rPr>
        <sz val="11"/>
        <rFont val="WenQuanYi Zen Hei"/>
        <family val="2"/>
      </rPr>
      <t xml:space="preserve">か月 ≒ 約</t>
    </r>
    <r>
      <rPr>
        <sz val="11"/>
        <rFont val="Noto Sans JP"/>
        <family val="0"/>
        <charset val="1"/>
      </rPr>
      <t xml:space="preserve">4.4</t>
    </r>
    <r>
      <rPr>
        <sz val="11"/>
        <rFont val="WenQuanYi Zen Hei"/>
        <family val="2"/>
      </rPr>
      <t xml:space="preserve">か月
注意点：
・回収期間は、効果がすべて出た後の換算値です。試行期間、税金、割引率は含めていません（スライド</t>
    </r>
    <r>
      <rPr>
        <sz val="11"/>
        <rFont val="Noto Sans JP"/>
        <family val="0"/>
        <charset val="1"/>
      </rPr>
      <t xml:space="preserve">10</t>
    </r>
    <r>
      <rPr>
        <sz val="11"/>
        <rFont val="WenQuanYi Zen Hei"/>
        <family val="2"/>
      </rPr>
      <t xml:space="preserve">の注記）。
・効果は試算です。人員削減による現金支出の減少を保証するものではありません（スライド</t>
    </r>
    <r>
      <rPr>
        <sz val="11"/>
        <rFont val="Noto Sans JP"/>
        <family val="0"/>
        <charset val="1"/>
      </rPr>
      <t xml:space="preserve">7</t>
    </r>
    <r>
      <rPr>
        <sz val="11"/>
        <rFont val="WenQuanYi Zen Hei"/>
        <family val="2"/>
      </rPr>
      <t xml:space="preserve">の注記）。
（根拠：スライド</t>
    </r>
    <r>
      <rPr>
        <sz val="11"/>
        <rFont val="Noto Sans JP"/>
        <family val="0"/>
        <charset val="1"/>
      </rPr>
      <t xml:space="preserve">6</t>
    </r>
    <r>
      <rPr>
        <sz val="11"/>
        <rFont val="WenQuanYi Zen Hei"/>
        <family val="2"/>
      </rPr>
      <t xml:space="preserve">・</t>
    </r>
    <r>
      <rPr>
        <sz val="11"/>
        <rFont val="Noto Sans JP"/>
        <family val="0"/>
        <charset val="1"/>
      </rPr>
      <t xml:space="preserve">7</t>
    </r>
    <r>
      <rPr>
        <sz val="11"/>
        <rFont val="WenQuanYi Zen Hei"/>
        <family val="2"/>
      </rPr>
      <t xml:space="preserve">・</t>
    </r>
    <r>
      <rPr>
        <sz val="11"/>
        <rFont val="Noto Sans JP"/>
        <family val="0"/>
        <charset val="1"/>
      </rPr>
      <t xml:space="preserve">10</t>
    </r>
    <r>
      <rPr>
        <sz val="11"/>
        <rFont val="WenQuanYi Zen Hei"/>
        <family val="2"/>
      </rPr>
      <t xml:space="preserve">）</t>
    </r>
  </si>
  <si>
    <t xml:space="preserve">/tmp/out/01-Q17.txt</t>
  </si>
  <si>
    <t xml:space="preserve">注記</t>
  </si>
  <si>
    <t xml:space="preserve">できない。工数削減の労務費換算であり、現金支出減を保証せず、全効果発現後の試算。</t>
  </si>
  <si>
    <r>
      <rPr>
        <sz val="11"/>
        <rFont val="WenQuanYi Zen Hei"/>
        <family val="2"/>
      </rPr>
      <t xml:space="preserve">いいえ、断定できません。資料が示す「約</t>
    </r>
    <r>
      <rPr>
        <sz val="11"/>
        <rFont val="Noto Sans JP"/>
        <family val="0"/>
        <charset val="1"/>
      </rPr>
      <t xml:space="preserve">4.4</t>
    </r>
    <r>
      <rPr>
        <sz val="11"/>
        <rFont val="WenQuanYi Zen Hei"/>
        <family val="2"/>
      </rPr>
      <t xml:space="preserve">か月」（初期費用</t>
    </r>
    <r>
      <rPr>
        <sz val="11"/>
        <rFont val="Noto Sans JP"/>
        <family val="0"/>
        <charset val="1"/>
      </rPr>
      <t xml:space="preserve">240</t>
    </r>
    <r>
      <rPr>
        <sz val="11"/>
        <rFont val="WenQuanYi Zen Hei"/>
        <family val="2"/>
      </rPr>
      <t xml:space="preserve">万円</t>
    </r>
    <r>
      <rPr>
        <sz val="11"/>
        <rFont val="Noto Sans JP"/>
        <family val="0"/>
        <charset val="1"/>
      </rPr>
      <t xml:space="preserve">÷</t>
    </r>
    <r>
      <rPr>
        <sz val="11"/>
        <rFont val="WenQuanYi Zen Hei"/>
        <family val="2"/>
      </rPr>
      <t xml:space="preserve">月間純効果</t>
    </r>
    <r>
      <rPr>
        <sz val="11"/>
        <rFont val="Noto Sans JP"/>
        <family val="0"/>
        <charset val="1"/>
      </rPr>
      <t xml:space="preserve">54</t>
    </r>
    <r>
      <rPr>
        <sz val="11"/>
        <rFont val="WenQuanYi Zen Hei"/>
        <family val="2"/>
      </rPr>
      <t xml:space="preserve">万円）は、工数削減を金額に換算した試算上の単純回収期間です。実際にお金が戻ってくるまでの期間を示すものではありません。
理由（いずれも資料の記載に基づきます）
</t>
    </r>
    <r>
      <rPr>
        <sz val="11"/>
        <rFont val="Noto Sans JP"/>
        <family val="0"/>
        <charset val="1"/>
      </rPr>
      <t xml:space="preserve">1. </t>
    </r>
    <r>
      <rPr>
        <sz val="11"/>
        <rFont val="WenQuanYi Zen Hei"/>
        <family val="2"/>
      </rPr>
      <t xml:space="preserve">効果の</t>
    </r>
    <r>
      <rPr>
        <sz val="11"/>
        <rFont val="Noto Sans JP"/>
        <family val="0"/>
        <charset val="1"/>
      </rPr>
      <t xml:space="preserve">72</t>
    </r>
    <r>
      <rPr>
        <sz val="11"/>
        <rFont val="WenQuanYi Zen Hei"/>
        <family val="2"/>
      </rPr>
      <t xml:space="preserve">万円は現金ではなく換算値です。削減</t>
    </r>
    <r>
      <rPr>
        <sz val="11"/>
        <rFont val="Noto Sans JP"/>
        <family val="0"/>
        <charset val="1"/>
      </rPr>
      <t xml:space="preserve">240</t>
    </r>
    <r>
      <rPr>
        <sz val="11"/>
        <rFont val="WenQuanYi Zen Hei"/>
        <family val="2"/>
      </rPr>
      <t xml:space="preserve">時間／月に単価</t>
    </r>
    <r>
      <rPr>
        <sz val="11"/>
        <rFont val="Noto Sans JP"/>
        <family val="0"/>
        <charset val="1"/>
      </rPr>
      <t xml:space="preserve">3,000</t>
    </r>
    <r>
      <rPr>
        <sz val="11"/>
        <rFont val="WenQuanYi Zen Hei"/>
        <family val="2"/>
      </rPr>
      <t xml:space="preserve">円／時間を掛けた「換算効果」で、スライド</t>
    </r>
    <r>
      <rPr>
        <sz val="11"/>
        <rFont val="Noto Sans JP"/>
        <family val="0"/>
        <charset val="1"/>
      </rPr>
      <t xml:space="preserve">7</t>
    </r>
    <r>
      <rPr>
        <sz val="11"/>
        <rFont val="WenQuanYi Zen Hei"/>
        <family val="2"/>
      </rPr>
      <t xml:space="preserve">の注記には「人員削減による現金支出の減少を保証するものではない」とあります。実際に現金支出として減るのは、削減時間が残業代の削減や採用の抑制などにつながった場合だけです。一方、運用費</t>
    </r>
    <r>
      <rPr>
        <sz val="11"/>
        <rFont val="Noto Sans JP"/>
        <family val="0"/>
        <charset val="1"/>
      </rPr>
      <t xml:space="preserve">18</t>
    </r>
    <r>
      <rPr>
        <sz val="11"/>
        <rFont val="WenQuanYi Zen Hei"/>
        <family val="2"/>
      </rPr>
      <t xml:space="preserve">万円／月は実際に支払う現金です。
</t>
    </r>
    <r>
      <rPr>
        <sz val="11"/>
        <rFont val="Noto Sans JP"/>
        <family val="0"/>
        <charset val="1"/>
      </rPr>
      <t xml:space="preserve">2. </t>
    </r>
    <r>
      <rPr>
        <sz val="11"/>
        <rFont val="WenQuanYi Zen Hei"/>
        <family val="2"/>
      </rPr>
      <t xml:space="preserve">前提となる条件が除かれています。スライド</t>
    </r>
    <r>
      <rPr>
        <sz val="11"/>
        <rFont val="Noto Sans JP"/>
        <family val="0"/>
        <charset val="1"/>
      </rPr>
      <t xml:space="preserve">10</t>
    </r>
    <r>
      <rPr>
        <sz val="11"/>
        <rFont val="WenQuanYi Zen Hei"/>
        <family val="2"/>
      </rPr>
      <t xml:space="preserve">の注記には「回収期間は全効果発現後の換算値。試行期間・税金・割引率は含めない」とあります。そのため、試行期間（</t>
    </r>
    <r>
      <rPr>
        <sz val="11"/>
        <rFont val="Noto Sans JP"/>
        <family val="0"/>
        <charset val="1"/>
      </rPr>
      <t xml:space="preserve">11</t>
    </r>
    <r>
      <rPr>
        <sz val="11"/>
        <rFont val="WenQuanYi Zen Hei"/>
        <family val="2"/>
      </rPr>
      <t xml:space="preserve">月</t>
    </r>
    <r>
      <rPr>
        <sz val="11"/>
        <rFont val="Noto Sans JP"/>
        <family val="0"/>
        <charset val="1"/>
      </rPr>
      <t xml:space="preserve">2</t>
    </r>
    <r>
      <rPr>
        <sz val="11"/>
        <rFont val="WenQuanYi Zen Hei"/>
        <family val="2"/>
      </rPr>
      <t xml:space="preserve">日～</t>
    </r>
    <r>
      <rPr>
        <sz val="11"/>
        <rFont val="Noto Sans JP"/>
        <family val="0"/>
        <charset val="1"/>
      </rPr>
      <t xml:space="preserve">12</t>
    </r>
    <r>
      <rPr>
        <sz val="11"/>
        <rFont val="WenQuanYi Zen Hei"/>
        <family val="2"/>
      </rPr>
      <t xml:space="preserve">月</t>
    </r>
    <r>
      <rPr>
        <sz val="11"/>
        <rFont val="Noto Sans JP"/>
        <family val="0"/>
        <charset val="1"/>
      </rPr>
      <t xml:space="preserve">25</t>
    </r>
    <r>
      <rPr>
        <sz val="11"/>
        <rFont val="WenQuanYi Zen Hei"/>
        <family val="2"/>
      </rPr>
      <t xml:space="preserve">日）中は効果が十分に出ないこと、本番開始日が決まっていないこと、税金、資金の時間価値は反映されていません。
</t>
    </r>
    <r>
      <rPr>
        <sz val="11"/>
        <rFont val="Noto Sans JP"/>
        <family val="0"/>
        <charset val="1"/>
      </rPr>
      <t xml:space="preserve">3. </t>
    </r>
    <r>
      <rPr>
        <sz val="11"/>
        <rFont val="WenQuanYi Zen Hei"/>
        <family val="2"/>
      </rPr>
      <t xml:space="preserve">削減効果そのものがまだ想定です。月</t>
    </r>
    <r>
      <rPr>
        <sz val="11"/>
        <rFont val="Noto Sans JP"/>
        <family val="0"/>
        <charset val="1"/>
      </rPr>
      <t xml:space="preserve">240</t>
    </r>
    <r>
      <rPr>
        <sz val="11"/>
        <rFont val="WenQuanYi Zen Hei"/>
        <family val="2"/>
      </rPr>
      <t xml:space="preserve">時間の削減（</t>
    </r>
    <r>
      <rPr>
        <sz val="11"/>
        <rFont val="Noto Sans JP"/>
        <family val="0"/>
        <charset val="1"/>
      </rPr>
      <t xml:space="preserve">420</t>
    </r>
    <r>
      <rPr>
        <sz val="11"/>
        <rFont val="WenQuanYi Zen Hei"/>
        <family val="2"/>
      </rPr>
      <t xml:space="preserve">時間→</t>
    </r>
    <r>
      <rPr>
        <sz val="11"/>
        <rFont val="Noto Sans JP"/>
        <family val="0"/>
        <charset val="1"/>
      </rPr>
      <t xml:space="preserve">180</t>
    </r>
    <r>
      <rPr>
        <sz val="11"/>
        <rFont val="WenQuanYi Zen Hei"/>
        <family val="2"/>
      </rPr>
      <t xml:space="preserve">時間、約</t>
    </r>
    <r>
      <rPr>
        <sz val="11"/>
        <rFont val="Noto Sans JP"/>
        <family val="0"/>
        <charset val="1"/>
      </rPr>
      <t xml:space="preserve">57%</t>
    </r>
    <r>
      <rPr>
        <sz val="11"/>
        <rFont val="WenQuanYi Zen Hei"/>
        <family val="2"/>
      </rPr>
      <t xml:space="preserve">減）は試行前の見込みです。本番展開の合格条件は平均対応時間の削減率「</t>
    </r>
    <r>
      <rPr>
        <sz val="11"/>
        <rFont val="Noto Sans JP"/>
        <family val="0"/>
        <charset val="1"/>
      </rPr>
      <t xml:space="preserve">40%</t>
    </r>
    <r>
      <rPr>
        <sz val="11"/>
        <rFont val="WenQuanYi Zen Hei"/>
        <family val="2"/>
      </rPr>
      <t xml:space="preserve">以上」なので、合格しても効果が想定より小さい可能性があります。仮に削減率が</t>
    </r>
    <r>
      <rPr>
        <sz val="11"/>
        <rFont val="Noto Sans JP"/>
        <family val="0"/>
        <charset val="1"/>
      </rPr>
      <t xml:space="preserve">40%</t>
    </r>
    <r>
      <rPr>
        <sz val="11"/>
        <rFont val="WenQuanYi Zen Hei"/>
        <family val="2"/>
      </rPr>
      <t xml:space="preserve">（</t>
    </r>
    <r>
      <rPr>
        <sz val="11"/>
        <rFont val="Noto Sans JP"/>
        <family val="0"/>
        <charset val="1"/>
      </rPr>
      <t xml:space="preserve">168</t>
    </r>
    <r>
      <rPr>
        <sz val="11"/>
        <rFont val="WenQuanYi Zen Hei"/>
        <family val="2"/>
      </rPr>
      <t xml:space="preserve">時間、</t>
    </r>
    <r>
      <rPr>
        <sz val="11"/>
        <rFont val="Noto Sans JP"/>
        <family val="0"/>
        <charset val="1"/>
      </rPr>
      <t xml:space="preserve">50.4</t>
    </r>
    <r>
      <rPr>
        <sz val="11"/>
        <rFont val="WenQuanYi Zen Hei"/>
        <family val="2"/>
      </rPr>
      <t xml:space="preserve">万円相当）なら純効果は</t>
    </r>
    <r>
      <rPr>
        <sz val="11"/>
        <rFont val="Noto Sans JP"/>
        <family val="0"/>
        <charset val="1"/>
      </rPr>
      <t xml:space="preserve">32.4</t>
    </r>
    <r>
      <rPr>
        <sz val="11"/>
        <rFont val="WenQuanYi Zen Hei"/>
        <family val="2"/>
      </rPr>
      <t xml:space="preserve">万円相当となり、単純回収期間は約</t>
    </r>
    <r>
      <rPr>
        <sz val="11"/>
        <rFont val="Noto Sans JP"/>
        <family val="0"/>
        <charset val="1"/>
      </rPr>
      <t xml:space="preserve">7.4</t>
    </r>
    <r>
      <rPr>
        <sz val="11"/>
        <rFont val="WenQuanYi Zen Hei"/>
        <family val="2"/>
      </rPr>
      <t xml:space="preserve">か月に延びます。
</t>
    </r>
    <r>
      <rPr>
        <sz val="11"/>
        <rFont val="Noto Sans JP"/>
        <family val="0"/>
        <charset val="1"/>
      </rPr>
      <t xml:space="preserve">4. </t>
    </r>
    <r>
      <rPr>
        <sz val="11"/>
        <rFont val="WenQuanYi Zen Hei"/>
        <family val="2"/>
      </rPr>
      <t xml:space="preserve">ほかにも未確定の要素があります。採用ベンダー、利用モデル、正式な本番開始日がまだ決まっておらず（スライド</t>
    </r>
    <r>
      <rPr>
        <sz val="11"/>
        <rFont val="Noto Sans JP"/>
        <family val="0"/>
        <charset val="1"/>
      </rPr>
      <t xml:space="preserve">10</t>
    </r>
    <r>
      <rPr>
        <sz val="11"/>
        <rFont val="WenQuanYi Zen Hei"/>
        <family val="2"/>
      </rPr>
      <t xml:space="preserve">）、費用もすべて税抜の概算です（スライド</t>
    </r>
    <r>
      <rPr>
        <sz val="11"/>
        <rFont val="Noto Sans JP"/>
        <family val="0"/>
        <charset val="1"/>
      </rPr>
      <t xml:space="preserve">6</t>
    </r>
    <r>
      <rPr>
        <sz val="11"/>
        <rFont val="WenQuanYi Zen Hei"/>
        <family val="2"/>
      </rPr>
      <t xml:space="preserve">）。
結論
「約</t>
    </r>
    <r>
      <rPr>
        <sz val="11"/>
        <rFont val="Noto Sans JP"/>
        <family val="0"/>
        <charset val="1"/>
      </rPr>
      <t xml:space="preserve">4.4</t>
    </r>
    <r>
      <rPr>
        <sz val="11"/>
        <rFont val="WenQuanYi Zen Hei"/>
        <family val="2"/>
      </rPr>
      <t xml:space="preserve">か月」は、全効果が出た後の換算効果で見た目安の値です。実際の資金回収期間とは別物として扱う必要があります。実際の資金回収期間を示すには、現金支出が実際にどれだけ減るか、効果がいつから出るか、試行の測定結果、確定した費用をもとに計算し直す必要があります。</t>
    </r>
  </si>
  <si>
    <t xml:space="preserve">/tmp/out/01-Q18.txt</t>
  </si>
  <si>
    <t xml:space="preserve">回答不能</t>
  </si>
  <si>
    <t xml:space="preserve">資料では未確定のため回答できない。</t>
  </si>
  <si>
    <t xml:space="preserve">10</t>
  </si>
  <si>
    <r>
      <rPr>
        <sz val="11"/>
        <rFont val="WenQuanYi Zen Hei"/>
        <family val="2"/>
      </rPr>
      <t xml:space="preserve">資料には採用する生成</t>
    </r>
    <r>
      <rPr>
        <sz val="11"/>
        <rFont val="Noto Sans JP"/>
        <family val="0"/>
        <charset val="1"/>
      </rPr>
      <t xml:space="preserve">AI</t>
    </r>
    <r>
      <rPr>
        <sz val="11"/>
        <rFont val="WenQuanYi Zen Hei"/>
        <family val="2"/>
      </rPr>
      <t xml:space="preserve">モデルの正式名称は記載されていません。スライド</t>
    </r>
    <r>
      <rPr>
        <sz val="11"/>
        <rFont val="Noto Sans JP"/>
        <family val="0"/>
        <charset val="1"/>
      </rPr>
      <t xml:space="preserve">10</t>
    </r>
    <r>
      <rPr>
        <sz val="11"/>
        <rFont val="WenQuanYi Zen Hei"/>
        <family val="2"/>
      </rPr>
      <t xml:space="preserve">「承認事項と残る確認事項」で、「利用モデル」は採用ベンダー・正式な本番開始日とともに「未確定」とされています。なお、導入方式としては「</t>
    </r>
    <r>
      <rPr>
        <sz val="11"/>
        <rFont val="Noto Sans JP"/>
        <family val="0"/>
        <charset val="1"/>
      </rPr>
      <t xml:space="preserve">B</t>
    </r>
    <r>
      <rPr>
        <sz val="11"/>
        <rFont val="WenQuanYi Zen Hei"/>
        <family val="2"/>
      </rPr>
      <t xml:space="preserve">：文書検索連携」が推奨されています（スライド</t>
    </r>
    <r>
      <rPr>
        <sz val="11"/>
        <rFont val="Noto Sans JP"/>
        <family val="0"/>
        <charset val="1"/>
      </rPr>
      <t xml:space="preserve">6</t>
    </r>
    <r>
      <rPr>
        <sz val="11"/>
        <rFont val="WenQuanYi Zen Hei"/>
        <family val="2"/>
      </rPr>
      <t xml:space="preserve">）が、これは方式であり、モデル名ではありません。</t>
    </r>
  </si>
  <si>
    <r>
      <rPr>
        <sz val="11"/>
        <rFont val="WenQuanYi Zen Hei"/>
        <family val="2"/>
      </rPr>
      <t xml:space="preserve">回答不能問題。資料に記載なし／未確定と理由を述べて具体値を断定していないため</t>
    </r>
    <r>
      <rPr>
        <sz val="11"/>
        <rFont val="Noto Sans JP"/>
        <family val="0"/>
        <charset val="1"/>
      </rPr>
      <t xml:space="preserve">2</t>
    </r>
    <r>
      <rPr>
        <sz val="11"/>
        <rFont val="WenQuanYi Zen Hei"/>
        <family val="2"/>
      </rPr>
      <t xml:space="preserve">点。</t>
    </r>
  </si>
  <si>
    <t xml:space="preserve">/tmp/out/01-Q19.txt</t>
  </si>
  <si>
    <r>
      <rPr>
        <sz val="11"/>
        <rFont val="WenQuanYi Zen Hei"/>
        <family val="2"/>
      </rPr>
      <t xml:space="preserve">経営企画担当役員、</t>
    </r>
    <r>
      <rPr>
        <sz val="11"/>
        <rFont val="Noto Sans JP"/>
        <family val="0"/>
        <charset val="1"/>
      </rPr>
      <t xml:space="preserve">2026</t>
    </r>
    <r>
      <rPr>
        <sz val="11"/>
        <rFont val="WenQuanYi Zen Hei"/>
        <family val="2"/>
      </rPr>
      <t xml:space="preserve">年</t>
    </r>
    <r>
      <rPr>
        <sz val="11"/>
        <rFont val="Noto Sans JP"/>
        <family val="0"/>
        <charset val="1"/>
      </rPr>
      <t xml:space="preserve">12</t>
    </r>
    <r>
      <rPr>
        <sz val="11"/>
        <rFont val="WenQuanYi Zen Hei"/>
        <family val="2"/>
      </rPr>
      <t xml:space="preserve">月</t>
    </r>
    <r>
      <rPr>
        <sz val="11"/>
        <rFont val="Noto Sans JP"/>
        <family val="0"/>
        <charset val="1"/>
      </rPr>
      <t xml:space="preserve">25</t>
    </r>
    <r>
      <rPr>
        <sz val="11"/>
        <rFont val="WenQuanYi Zen Hei"/>
        <family val="2"/>
      </rPr>
      <t xml:space="preserve">日。</t>
    </r>
  </si>
  <si>
    <t xml:space="preserve">8,10</t>
  </si>
  <si>
    <r>
      <rPr>
        <sz val="11"/>
        <rFont val="WenQuanYi Zen Hei"/>
        <family val="2"/>
      </rPr>
      <t xml:space="preserve">試行予算の決裁者は経営企画担当役員です（スライド</t>
    </r>
    <r>
      <rPr>
        <sz val="11"/>
        <rFont val="Noto Sans JP"/>
        <family val="0"/>
        <charset val="1"/>
      </rPr>
      <t xml:space="preserve">10</t>
    </r>
    <r>
      <rPr>
        <sz val="11"/>
        <rFont val="WenQuanYi Zen Hei"/>
        <family val="2"/>
      </rPr>
      <t xml:space="preserve">）。本番展開の可否を決める評価会は</t>
    </r>
    <r>
      <rPr>
        <sz val="11"/>
        <rFont val="Noto Sans JP"/>
        <family val="0"/>
        <charset val="1"/>
      </rPr>
      <t xml:space="preserve">2026</t>
    </r>
    <r>
      <rPr>
        <sz val="11"/>
        <rFont val="WenQuanYi Zen Hei"/>
        <family val="2"/>
      </rPr>
      <t xml:space="preserve">年</t>
    </r>
    <r>
      <rPr>
        <sz val="11"/>
        <rFont val="Noto Sans JP"/>
        <family val="0"/>
        <charset val="1"/>
      </rPr>
      <t xml:space="preserve">12</t>
    </r>
    <r>
      <rPr>
        <sz val="11"/>
        <rFont val="WenQuanYi Zen Hei"/>
        <family val="2"/>
      </rPr>
      <t xml:space="preserve">月</t>
    </r>
    <r>
      <rPr>
        <sz val="11"/>
        <rFont val="Noto Sans JP"/>
        <family val="0"/>
        <charset val="1"/>
      </rPr>
      <t xml:space="preserve">25</t>
    </r>
    <r>
      <rPr>
        <sz val="11"/>
        <rFont val="WenQuanYi Zen Hei"/>
        <family val="2"/>
      </rPr>
      <t xml:space="preserve">日に開かれます（スライド</t>
    </r>
    <r>
      <rPr>
        <sz val="11"/>
        <rFont val="Noto Sans JP"/>
        <family val="0"/>
        <charset val="1"/>
      </rPr>
      <t xml:space="preserve">8</t>
    </r>
    <r>
      <rPr>
        <sz val="11"/>
        <rFont val="WenQuanYi Zen Hei"/>
        <family val="2"/>
      </rPr>
      <t xml:space="preserve">）。</t>
    </r>
  </si>
  <si>
    <t xml:space="preserve">/tmp/out/01-Q20.txt</t>
  </si>
  <si>
    <t xml:space="preserve">合計得点</t>
  </si>
  <si>
    <r>
      <rPr>
        <sz val="10"/>
        <rFont val="WenQuanYi Zen Hei"/>
        <family val="2"/>
      </rPr>
      <t xml:space="preserve">正解数（</t>
    </r>
    <r>
      <rPr>
        <sz val="10"/>
        <rFont val="Arial"/>
        <family val="2"/>
      </rPr>
      <t xml:space="preserve">2</t>
    </r>
    <r>
      <rPr>
        <sz val="10"/>
        <rFont val="WenQuanYi Zen Hei"/>
        <family val="2"/>
      </rPr>
      <t xml:space="preserve">点）</t>
    </r>
  </si>
  <si>
    <t xml:space="preserve">対象外</t>
  </si>
  <si>
    <r>
      <rPr>
        <b val="true"/>
        <sz val="15"/>
        <rFont val="WenQuanYi Zen Hei"/>
        <family val="2"/>
      </rPr>
      <t xml:space="preserve">システム開発進捗報告：テスト問題（</t>
    </r>
    <r>
      <rPr>
        <b val="true"/>
        <sz val="15"/>
        <rFont val="Noto Sans JP"/>
        <family val="0"/>
        <charset val="1"/>
      </rPr>
      <t xml:space="preserve">LLM</t>
    </r>
    <r>
      <rPr>
        <b val="true"/>
        <sz val="15"/>
        <rFont val="WenQuanYi Zen Hei"/>
        <family val="2"/>
      </rPr>
      <t xml:space="preserve">入力用）</t>
    </r>
  </si>
  <si>
    <t xml:space="preserve">02-Q01</t>
  </si>
  <si>
    <r>
      <rPr>
        <sz val="11"/>
        <rFont val="WenQuanYi Zen Hei"/>
        <family val="2"/>
      </rPr>
      <t xml:space="preserve">報告基準日と</t>
    </r>
    <r>
      <rPr>
        <sz val="11"/>
        <rFont val="Noto Sans JP"/>
        <family val="0"/>
        <charset val="1"/>
      </rPr>
      <t xml:space="preserve">PM</t>
    </r>
    <r>
      <rPr>
        <sz val="11"/>
        <rFont val="WenQuanYi Zen Hei"/>
        <family val="2"/>
      </rPr>
      <t xml:space="preserve">を答えてください。</t>
    </r>
  </si>
  <si>
    <t xml:space="preserve">02-Q02</t>
  </si>
  <si>
    <t xml:space="preserve">総合判定と公開予定日を答えてください。</t>
  </si>
  <si>
    <t xml:space="preserve">02-Q03</t>
  </si>
  <si>
    <t xml:space="preserve">総合進捗の計画との差をポイントで答えてください。</t>
  </si>
  <si>
    <t xml:space="preserve">02-Q04</t>
  </si>
  <si>
    <t xml:space="preserve">計画との差が最も大きい工程はどれですか。</t>
  </si>
  <si>
    <t xml:space="preserve">02-Q05</t>
  </si>
  <si>
    <r>
      <rPr>
        <sz val="11"/>
        <rFont val="WenQuanYi Zen Hei"/>
        <family val="2"/>
      </rPr>
      <t xml:space="preserve">総合進捗</t>
    </r>
    <r>
      <rPr>
        <sz val="11"/>
        <rFont val="Noto Sans JP"/>
        <family val="0"/>
        <charset val="1"/>
      </rPr>
      <t xml:space="preserve">62%</t>
    </r>
    <r>
      <rPr>
        <sz val="11"/>
        <rFont val="WenQuanYi Zen Hei"/>
        <family val="2"/>
      </rPr>
      <t xml:space="preserve">を工程別実績の単純平均で再現できますか。</t>
    </r>
  </si>
  <si>
    <t xml:space="preserve">02-Q06</t>
  </si>
  <si>
    <t xml:space="preserve">未解決不具合が最も多かった日と件数を答えてください。</t>
  </si>
  <si>
    <t xml:space="preserve">02-Q07</t>
  </si>
  <si>
    <r>
      <rPr>
        <sz val="11"/>
        <rFont val="Noto Sans JP"/>
        <family val="0"/>
        <charset val="1"/>
      </rPr>
      <t xml:space="preserve">10</t>
    </r>
    <r>
      <rPr>
        <sz val="11"/>
        <rFont val="WenQuanYi Zen Hei"/>
        <family val="2"/>
      </rPr>
      <t xml:space="preserve">月</t>
    </r>
    <r>
      <rPr>
        <sz val="11"/>
        <rFont val="Noto Sans JP"/>
        <family val="0"/>
        <charset val="1"/>
      </rPr>
      <t xml:space="preserve">2</t>
    </r>
    <r>
      <rPr>
        <sz val="11"/>
        <rFont val="WenQuanYi Zen Hei"/>
        <family val="2"/>
      </rPr>
      <t xml:space="preserve">日から</t>
    </r>
    <r>
      <rPr>
        <sz val="11"/>
        <rFont val="Noto Sans JP"/>
        <family val="0"/>
        <charset val="1"/>
      </rPr>
      <t xml:space="preserve">23</t>
    </r>
    <r>
      <rPr>
        <sz val="11"/>
        <rFont val="WenQuanYi Zen Hei"/>
        <family val="2"/>
      </rPr>
      <t xml:space="preserve">日までの残件数の増減を答えてください。</t>
    </r>
  </si>
  <si>
    <t xml:space="preserve">02-Q08</t>
  </si>
  <si>
    <t xml:space="preserve">重大不具合の残件数、期限、担当を答えてください。</t>
  </si>
  <si>
    <t xml:space="preserve">02-Q09</t>
  </si>
  <si>
    <t xml:space="preserve">重大と高の不具合は合計何件ですか。</t>
  </si>
  <si>
    <t xml:space="preserve">02-Q10</t>
  </si>
  <si>
    <r>
      <rPr>
        <sz val="11"/>
        <rFont val="Noto Sans JP"/>
        <family val="0"/>
        <charset val="1"/>
      </rPr>
      <t xml:space="preserve">CR-07</t>
    </r>
    <r>
      <rPr>
        <sz val="11"/>
        <rFont val="WenQuanYi Zen Hei"/>
        <family val="2"/>
      </rPr>
      <t xml:space="preserve">の取込上限は当初の何倍になりますか。</t>
    </r>
  </si>
  <si>
    <t xml:space="preserve">02-Q11</t>
  </si>
  <si>
    <r>
      <rPr>
        <sz val="11"/>
        <rFont val="WenQuanYi Zen Hei"/>
        <family val="2"/>
      </rPr>
      <t xml:space="preserve">報告基準日時点で</t>
    </r>
    <r>
      <rPr>
        <sz val="11"/>
        <rFont val="Noto Sans JP"/>
        <family val="0"/>
        <charset val="1"/>
      </rPr>
      <t xml:space="preserve">CR-07</t>
    </r>
    <r>
      <rPr>
        <sz val="11"/>
        <rFont val="WenQuanYi Zen Hei"/>
        <family val="2"/>
      </rPr>
      <t xml:space="preserve">は承認済みですか。</t>
    </r>
  </si>
  <si>
    <t xml:space="preserve">02-Q12</t>
  </si>
  <si>
    <t xml:space="preserve">追加要員の総人日と、遅延回復に使う人日を答えてください。</t>
  </si>
  <si>
    <t xml:space="preserve">02-Q13</t>
  </si>
  <si>
    <t xml:space="preserve">受入試験の実施期間と終了条件を答えてください。</t>
  </si>
  <si>
    <t xml:space="preserve">02-Q14</t>
  </si>
  <si>
    <t xml:space="preserve">完成時見込みを内訳から計算してください。</t>
  </si>
  <si>
    <t xml:space="preserve">02-Q15</t>
  </si>
  <si>
    <t xml:space="preserve">当初予算上限までの余裕はいくらですか。</t>
  </si>
  <si>
    <t xml:space="preserve">02-Q16</t>
  </si>
  <si>
    <r>
      <rPr>
        <sz val="11"/>
        <rFont val="Noto Sans JP"/>
        <family val="0"/>
        <charset val="1"/>
      </rPr>
      <t xml:space="preserve">CR-07</t>
    </r>
    <r>
      <rPr>
        <sz val="11"/>
        <rFont val="WenQuanYi Zen Hei"/>
        <family val="2"/>
      </rPr>
      <t xml:space="preserve">費用</t>
    </r>
    <r>
      <rPr>
        <sz val="11"/>
        <rFont val="Noto Sans JP"/>
        <family val="0"/>
        <charset val="1"/>
      </rPr>
      <t xml:space="preserve">160</t>
    </r>
    <r>
      <rPr>
        <sz val="11"/>
        <rFont val="WenQuanYi Zen Hei"/>
        <family val="2"/>
      </rPr>
      <t xml:space="preserve">万円を完成時見込みにさらに加算すべきですか。</t>
    </r>
  </si>
  <si>
    <t xml:space="preserve">02-Q17</t>
  </si>
  <si>
    <r>
      <rPr>
        <sz val="11"/>
        <rFont val="WenQuanYi Zen Hei"/>
        <family val="2"/>
      </rPr>
      <t xml:space="preserve">重大</t>
    </r>
    <r>
      <rPr>
        <sz val="11"/>
        <rFont val="Noto Sans JP"/>
        <family val="0"/>
        <charset val="1"/>
      </rPr>
      <t xml:space="preserve">0</t>
    </r>
    <r>
      <rPr>
        <sz val="11"/>
        <rFont val="WenQuanYi Zen Hei"/>
        <family val="2"/>
      </rPr>
      <t xml:space="preserve">件・高</t>
    </r>
    <r>
      <rPr>
        <sz val="11"/>
        <rFont val="Noto Sans JP"/>
        <family val="0"/>
        <charset val="1"/>
      </rPr>
      <t xml:space="preserve">1</t>
    </r>
    <r>
      <rPr>
        <sz val="11"/>
        <rFont val="WenQuanYi Zen Hei"/>
        <family val="2"/>
      </rPr>
      <t xml:space="preserve">件で、他の条件は達成した場合、公開できますか。</t>
    </r>
  </si>
  <si>
    <t xml:space="preserve">02-Q18</t>
  </si>
  <si>
    <t xml:space="preserve">公開判定日と最終判断者を答えてください。</t>
  </si>
  <si>
    <t xml:space="preserve">02-Q19</t>
  </si>
  <si>
    <r>
      <rPr>
        <sz val="11"/>
        <rFont val="Noto Sans JP"/>
        <family val="0"/>
        <charset val="1"/>
      </rPr>
      <t xml:space="preserve">API</t>
    </r>
    <r>
      <rPr>
        <sz val="11"/>
        <rFont val="WenQuanYi Zen Hei"/>
        <family val="2"/>
      </rPr>
      <t xml:space="preserve">仕様の凍結責任者と期限を答えてください。</t>
    </r>
  </si>
  <si>
    <t xml:space="preserve">02-Q20</t>
  </si>
  <si>
    <r>
      <rPr>
        <sz val="11"/>
        <rFont val="WenQuanYi Zen Hei"/>
        <family val="2"/>
      </rPr>
      <t xml:space="preserve">外部</t>
    </r>
    <r>
      <rPr>
        <sz val="11"/>
        <rFont val="Noto Sans JP"/>
        <family val="0"/>
        <charset val="1"/>
      </rPr>
      <t xml:space="preserve">API</t>
    </r>
    <r>
      <rPr>
        <sz val="11"/>
        <rFont val="WenQuanYi Zen Hei"/>
        <family val="2"/>
      </rPr>
      <t xml:space="preserve">提供会社の正式名称は何ですか。</t>
    </r>
  </si>
  <si>
    <t xml:space="preserve">システム開発進捗報告：期待回答・評価記録</t>
  </si>
  <si>
    <r>
      <rPr>
        <sz val="11"/>
        <rFont val="Noto Sans JP"/>
        <family val="0"/>
        <charset val="1"/>
      </rPr>
      <t xml:space="preserve">2026</t>
    </r>
    <r>
      <rPr>
        <sz val="11"/>
        <rFont val="WenQuanYi Zen Hei"/>
        <family val="2"/>
      </rPr>
      <t xml:space="preserve">年</t>
    </r>
    <r>
      <rPr>
        <sz val="11"/>
        <rFont val="Noto Sans JP"/>
        <family val="0"/>
        <charset val="1"/>
      </rPr>
      <t xml:space="preserve">10</t>
    </r>
    <r>
      <rPr>
        <sz val="11"/>
        <rFont val="WenQuanYi Zen Hei"/>
        <family val="2"/>
      </rPr>
      <t xml:space="preserve">月</t>
    </r>
    <r>
      <rPr>
        <sz val="11"/>
        <rFont val="Noto Sans JP"/>
        <family val="0"/>
        <charset val="1"/>
      </rPr>
      <t xml:space="preserve">23</t>
    </r>
    <r>
      <rPr>
        <sz val="11"/>
        <rFont val="WenQuanYi Zen Hei"/>
        <family val="2"/>
      </rPr>
      <t xml:space="preserve">日、田中 健。</t>
    </r>
  </si>
  <si>
    <r>
      <rPr>
        <sz val="11"/>
        <rFont val="WenQuanYi Zen Hei"/>
        <family val="2"/>
      </rPr>
      <t xml:space="preserve">報告基準日：</t>
    </r>
    <r>
      <rPr>
        <sz val="11"/>
        <rFont val="Noto Sans JP"/>
        <family val="0"/>
        <charset val="1"/>
      </rPr>
      <t xml:space="preserve">2026</t>
    </r>
    <r>
      <rPr>
        <sz val="11"/>
        <rFont val="WenQuanYi Zen Hei"/>
        <family val="2"/>
      </rPr>
      <t xml:space="preserve">年</t>
    </r>
    <r>
      <rPr>
        <sz val="11"/>
        <rFont val="Noto Sans JP"/>
        <family val="0"/>
        <charset val="1"/>
      </rPr>
      <t xml:space="preserve">10</t>
    </r>
    <r>
      <rPr>
        <sz val="11"/>
        <rFont val="WenQuanYi Zen Hei"/>
        <family val="2"/>
      </rPr>
      <t xml:space="preserve">月</t>
    </r>
    <r>
      <rPr>
        <sz val="11"/>
        <rFont val="Noto Sans JP"/>
        <family val="0"/>
        <charset val="1"/>
      </rPr>
      <t xml:space="preserve">23</t>
    </r>
    <r>
      <rPr>
        <sz val="11"/>
        <rFont val="WenQuanYi Zen Hei"/>
        <family val="2"/>
      </rPr>
      <t xml:space="preserve">日
</t>
    </r>
    <r>
      <rPr>
        <sz val="11"/>
        <rFont val="Noto Sans JP"/>
        <family val="0"/>
        <charset val="1"/>
      </rPr>
      <t xml:space="preserve">PM</t>
    </r>
    <r>
      <rPr>
        <sz val="11"/>
        <rFont val="WenQuanYi Zen Hei"/>
        <family val="2"/>
      </rPr>
      <t xml:space="preserve">（プロジェクトマネージャー）：田中 健</t>
    </r>
  </si>
  <si>
    <t xml:space="preserve">/tmp/out/02-Q01.txt</t>
  </si>
  <si>
    <r>
      <rPr>
        <sz val="11"/>
        <rFont val="WenQuanYi Zen Hei"/>
        <family val="2"/>
      </rPr>
      <t xml:space="preserve">黄、</t>
    </r>
    <r>
      <rPr>
        <sz val="11"/>
        <rFont val="Noto Sans JP"/>
        <family val="0"/>
        <charset val="1"/>
      </rPr>
      <t xml:space="preserve">2026</t>
    </r>
    <r>
      <rPr>
        <sz val="11"/>
        <rFont val="WenQuanYi Zen Hei"/>
        <family val="2"/>
      </rPr>
      <t xml:space="preserve">年</t>
    </r>
    <r>
      <rPr>
        <sz val="11"/>
        <rFont val="Noto Sans JP"/>
        <family val="0"/>
        <charset val="1"/>
      </rPr>
      <t xml:space="preserve">12</t>
    </r>
    <r>
      <rPr>
        <sz val="11"/>
        <rFont val="WenQuanYi Zen Hei"/>
        <family val="2"/>
      </rPr>
      <t xml:space="preserve">月</t>
    </r>
    <r>
      <rPr>
        <sz val="11"/>
        <rFont val="Noto Sans JP"/>
        <family val="0"/>
        <charset val="1"/>
      </rPr>
      <t xml:space="preserve">14</t>
    </r>
    <r>
      <rPr>
        <sz val="11"/>
        <rFont val="WenQuanYi Zen Hei"/>
        <family val="2"/>
      </rPr>
      <t xml:space="preserve">日。</t>
    </r>
  </si>
  <si>
    <r>
      <rPr>
        <sz val="11"/>
        <rFont val="WenQuanYi Zen Hei"/>
        <family val="2"/>
      </rPr>
      <t xml:space="preserve">総合判定は「黄」、公開予定日は</t>
    </r>
    <r>
      <rPr>
        <sz val="11"/>
        <rFont val="Noto Sans JP"/>
        <family val="0"/>
        <charset val="1"/>
      </rPr>
      <t xml:space="preserve">2026</t>
    </r>
    <r>
      <rPr>
        <sz val="11"/>
        <rFont val="WenQuanYi Zen Hei"/>
        <family val="2"/>
      </rPr>
      <t xml:space="preserve">年</t>
    </r>
    <r>
      <rPr>
        <sz val="11"/>
        <rFont val="Noto Sans JP"/>
        <family val="0"/>
        <charset val="1"/>
      </rPr>
      <t xml:space="preserve">12</t>
    </r>
    <r>
      <rPr>
        <sz val="11"/>
        <rFont val="WenQuanYi Zen Hei"/>
        <family val="2"/>
      </rPr>
      <t xml:space="preserve">月</t>
    </r>
    <r>
      <rPr>
        <sz val="11"/>
        <rFont val="Noto Sans JP"/>
        <family val="0"/>
        <charset val="1"/>
      </rPr>
      <t xml:space="preserve">14</t>
    </r>
    <r>
      <rPr>
        <sz val="11"/>
        <rFont val="WenQuanYi Zen Hei"/>
        <family val="2"/>
      </rPr>
      <t xml:space="preserve">日（維持）です。
（根拠：スライド</t>
    </r>
    <r>
      <rPr>
        <sz val="11"/>
        <rFont val="Noto Sans JP"/>
        <family val="0"/>
        <charset val="1"/>
      </rPr>
      <t xml:space="preserve">2</t>
    </r>
    <r>
      <rPr>
        <sz val="11"/>
        <rFont val="WenQuanYi Zen Hei"/>
        <family val="2"/>
      </rPr>
      <t xml:space="preserve">「総合判定は黄、公開予定日は維持」、要点</t>
    </r>
    <r>
      <rPr>
        <sz val="11"/>
        <rFont val="Noto Sans JP"/>
        <family val="0"/>
        <charset val="1"/>
      </rPr>
      <t xml:space="preserve">1</t>
    </r>
    <r>
      <rPr>
        <sz val="11"/>
        <rFont val="WenQuanYi Zen Hei"/>
        <family val="2"/>
      </rPr>
      <t xml:space="preserve">「公開予定日：</t>
    </r>
    <r>
      <rPr>
        <sz val="11"/>
        <rFont val="Noto Sans JP"/>
        <family val="0"/>
        <charset val="1"/>
      </rPr>
      <t xml:space="preserve">2026</t>
    </r>
    <r>
      <rPr>
        <sz val="11"/>
        <rFont val="WenQuanYi Zen Hei"/>
        <family val="2"/>
      </rPr>
      <t xml:space="preserve">年</t>
    </r>
    <r>
      <rPr>
        <sz val="11"/>
        <rFont val="Noto Sans JP"/>
        <family val="0"/>
        <charset val="1"/>
      </rPr>
      <t xml:space="preserve">12</t>
    </r>
    <r>
      <rPr>
        <sz val="11"/>
        <rFont val="WenQuanYi Zen Hei"/>
        <family val="2"/>
      </rPr>
      <t xml:space="preserve">月</t>
    </r>
    <r>
      <rPr>
        <sz val="11"/>
        <rFont val="Noto Sans JP"/>
        <family val="0"/>
        <charset val="1"/>
      </rPr>
      <t xml:space="preserve">14</t>
    </r>
    <r>
      <rPr>
        <sz val="11"/>
        <rFont val="WenQuanYi Zen Hei"/>
        <family val="2"/>
      </rPr>
      <t xml:space="preserve">日」。報告基準日は</t>
    </r>
    <r>
      <rPr>
        <sz val="11"/>
        <rFont val="Noto Sans JP"/>
        <family val="0"/>
        <charset val="1"/>
      </rPr>
      <t xml:space="preserve">2026</t>
    </r>
    <r>
      <rPr>
        <sz val="11"/>
        <rFont val="WenQuanYi Zen Hei"/>
        <family val="2"/>
      </rPr>
      <t xml:space="preserve">年</t>
    </r>
    <r>
      <rPr>
        <sz val="11"/>
        <rFont val="Noto Sans JP"/>
        <family val="0"/>
        <charset val="1"/>
      </rPr>
      <t xml:space="preserve">10</t>
    </r>
    <r>
      <rPr>
        <sz val="11"/>
        <rFont val="WenQuanYi Zen Hei"/>
        <family val="2"/>
      </rPr>
      <t xml:space="preserve">月</t>
    </r>
    <r>
      <rPr>
        <sz val="11"/>
        <rFont val="Noto Sans JP"/>
        <family val="0"/>
        <charset val="1"/>
      </rPr>
      <t xml:space="preserve">23</t>
    </r>
    <r>
      <rPr>
        <sz val="11"/>
        <rFont val="WenQuanYi Zen Hei"/>
        <family val="2"/>
      </rPr>
      <t xml:space="preserve">日）</t>
    </r>
  </si>
  <si>
    <t xml:space="preserve">/tmp/out/02-Q02.txt</t>
  </si>
  <si>
    <r>
      <rPr>
        <sz val="11"/>
        <rFont val="Noto Sans JP"/>
        <family val="0"/>
        <charset val="1"/>
      </rPr>
      <t xml:space="preserve">62</t>
    </r>
    <r>
      <rPr>
        <sz val="11"/>
        <rFont val="WenQuanYi Zen Hei"/>
        <family val="2"/>
      </rPr>
      <t xml:space="preserve">－</t>
    </r>
    <r>
      <rPr>
        <sz val="11"/>
        <rFont val="Noto Sans JP"/>
        <family val="0"/>
        <charset val="1"/>
      </rPr>
      <t xml:space="preserve">70</t>
    </r>
    <r>
      <rPr>
        <sz val="11"/>
        <rFont val="WenQuanYi Zen Hei"/>
        <family val="2"/>
      </rPr>
      <t xml:space="preserve">＝マイナス</t>
    </r>
    <r>
      <rPr>
        <sz val="11"/>
        <rFont val="Noto Sans JP"/>
        <family val="0"/>
        <charset val="1"/>
      </rPr>
      <t xml:space="preserve">8</t>
    </r>
    <r>
      <rPr>
        <sz val="11"/>
        <rFont val="WenQuanYi Zen Hei"/>
        <family val="2"/>
      </rPr>
      <t xml:space="preserve">ポイント。</t>
    </r>
  </si>
  <si>
    <r>
      <rPr>
        <sz val="11"/>
        <rFont val="WenQuanYi Zen Hei"/>
        <family val="2"/>
      </rPr>
      <t xml:space="preserve">計画比</t>
    </r>
    <r>
      <rPr>
        <sz val="11"/>
        <rFont val="Noto Sans JP"/>
        <family val="0"/>
        <charset val="1"/>
      </rPr>
      <t xml:space="preserve">8</t>
    </r>
    <r>
      <rPr>
        <sz val="11"/>
        <rFont val="WenQuanYi Zen Hei"/>
        <family val="2"/>
      </rPr>
      <t xml:space="preserve">ポイントの遅れ（実績</t>
    </r>
    <r>
      <rPr>
        <sz val="11"/>
        <rFont val="Noto Sans JP"/>
        <family val="0"/>
        <charset val="1"/>
      </rPr>
      <t xml:space="preserve">62%</t>
    </r>
    <r>
      <rPr>
        <sz val="11"/>
        <rFont val="WenQuanYi Zen Hei"/>
        <family val="2"/>
      </rPr>
      <t xml:space="preserve">、計画</t>
    </r>
    <r>
      <rPr>
        <sz val="11"/>
        <rFont val="Noto Sans JP"/>
        <family val="0"/>
        <charset val="1"/>
      </rPr>
      <t xml:space="preserve">70%</t>
    </r>
    <r>
      <rPr>
        <sz val="11"/>
        <rFont val="WenQuanYi Zen Hei"/>
        <family val="2"/>
      </rPr>
      <t xml:space="preserve">。</t>
    </r>
    <r>
      <rPr>
        <sz val="11"/>
        <rFont val="Noto Sans JP"/>
        <family val="0"/>
        <charset val="1"/>
      </rPr>
      <t xml:space="preserve">2026</t>
    </r>
    <r>
      <rPr>
        <sz val="11"/>
        <rFont val="WenQuanYi Zen Hei"/>
        <family val="2"/>
      </rPr>
      <t xml:space="preserve">年</t>
    </r>
    <r>
      <rPr>
        <sz val="11"/>
        <rFont val="Noto Sans JP"/>
        <family val="0"/>
        <charset val="1"/>
      </rPr>
      <t xml:space="preserve">10</t>
    </r>
    <r>
      <rPr>
        <sz val="11"/>
        <rFont val="WenQuanYi Zen Hei"/>
        <family val="2"/>
      </rPr>
      <t xml:space="preserve">月</t>
    </r>
    <r>
      <rPr>
        <sz val="11"/>
        <rFont val="Noto Sans JP"/>
        <family val="0"/>
        <charset val="1"/>
      </rPr>
      <t xml:space="preserve">23</t>
    </r>
    <r>
      <rPr>
        <sz val="11"/>
        <rFont val="WenQuanYi Zen Hei"/>
        <family val="2"/>
      </rPr>
      <t xml:space="preserve">日時点）</t>
    </r>
  </si>
  <si>
    <t xml:space="preserve">/tmp/out/02-Q03.txt</t>
  </si>
  <si>
    <r>
      <rPr>
        <sz val="11"/>
        <rFont val="WenQuanYi Zen Hei"/>
        <family val="2"/>
      </rPr>
      <t xml:space="preserve">結合試験。計画</t>
    </r>
    <r>
      <rPr>
        <sz val="11"/>
        <rFont val="Noto Sans JP"/>
        <family val="0"/>
        <charset val="1"/>
      </rPr>
      <t xml:space="preserve">30%</t>
    </r>
    <r>
      <rPr>
        <sz val="11"/>
        <rFont val="WenQuanYi Zen Hei"/>
        <family val="2"/>
      </rPr>
      <t xml:space="preserve">に対して実績</t>
    </r>
    <r>
      <rPr>
        <sz val="11"/>
        <rFont val="Noto Sans JP"/>
        <family val="0"/>
        <charset val="1"/>
      </rPr>
      <t xml:space="preserve">10%</t>
    </r>
    <r>
      <rPr>
        <sz val="11"/>
        <rFont val="WenQuanYi Zen Hei"/>
        <family val="2"/>
      </rPr>
      <t xml:space="preserve">で</t>
    </r>
    <r>
      <rPr>
        <sz val="11"/>
        <rFont val="Noto Sans JP"/>
        <family val="0"/>
        <charset val="1"/>
      </rPr>
      <t xml:space="preserve">20</t>
    </r>
    <r>
      <rPr>
        <sz val="11"/>
        <rFont val="WenQuanYi Zen Hei"/>
        <family val="2"/>
      </rPr>
      <t xml:space="preserve">ポイント差。</t>
    </r>
  </si>
  <si>
    <r>
      <rPr>
        <sz val="11"/>
        <rFont val="WenQuanYi Zen Hei"/>
        <family val="2"/>
      </rPr>
      <t xml:space="preserve">計画との差が最も大きい工程は「結合試験」です。計画</t>
    </r>
    <r>
      <rPr>
        <sz val="11"/>
        <rFont val="Noto Sans JP"/>
        <family val="0"/>
        <charset val="1"/>
      </rPr>
      <t xml:space="preserve">30%</t>
    </r>
    <r>
      <rPr>
        <sz val="11"/>
        <rFont val="WenQuanYi Zen Hei"/>
        <family val="2"/>
      </rPr>
      <t xml:space="preserve">に対して実績は</t>
    </r>
    <r>
      <rPr>
        <sz val="11"/>
        <rFont val="Noto Sans JP"/>
        <family val="0"/>
        <charset val="1"/>
      </rPr>
      <t xml:space="preserve">10%</t>
    </r>
    <r>
      <rPr>
        <sz val="11"/>
        <rFont val="WenQuanYi Zen Hei"/>
        <family val="2"/>
      </rPr>
      <t xml:space="preserve">で、差は</t>
    </r>
    <r>
      <rPr>
        <sz val="11"/>
        <rFont val="Noto Sans JP"/>
        <family val="0"/>
        <charset val="1"/>
      </rPr>
      <t xml:space="preserve">20</t>
    </r>
    <r>
      <rPr>
        <sz val="11"/>
        <rFont val="WenQuanYi Zen Hei"/>
        <family val="2"/>
      </rPr>
      <t xml:space="preserve">ポイントです（スライド</t>
    </r>
    <r>
      <rPr>
        <sz val="11"/>
        <rFont val="Noto Sans JP"/>
        <family val="0"/>
        <charset val="1"/>
      </rPr>
      <t xml:space="preserve">3</t>
    </r>
    <r>
      <rPr>
        <sz val="11"/>
        <rFont val="WenQuanYi Zen Hei"/>
        <family val="2"/>
      </rPr>
      <t xml:space="preserve">）。
参考として、他の工程の差は次のとおりです。
</t>
    </r>
    <r>
      <rPr>
        <sz val="11"/>
        <rFont val="Noto Sans JP"/>
        <family val="0"/>
        <charset val="1"/>
      </rPr>
      <t xml:space="preserve">- </t>
    </r>
    <r>
      <rPr>
        <sz val="11"/>
        <rFont val="WenQuanYi Zen Hei"/>
        <family val="2"/>
      </rPr>
      <t xml:space="preserve">開発：計画</t>
    </r>
    <r>
      <rPr>
        <sz val="11"/>
        <rFont val="Noto Sans JP"/>
        <family val="0"/>
        <charset val="1"/>
      </rPr>
      <t xml:space="preserve">80%</t>
    </r>
    <r>
      <rPr>
        <sz val="11"/>
        <rFont val="WenQuanYi Zen Hei"/>
        <family val="2"/>
      </rPr>
      <t xml:space="preserve">、実績</t>
    </r>
    <r>
      <rPr>
        <sz val="11"/>
        <rFont val="Noto Sans JP"/>
        <family val="0"/>
        <charset val="1"/>
      </rPr>
      <t xml:space="preserve">65%</t>
    </r>
    <r>
      <rPr>
        <sz val="11"/>
        <rFont val="WenQuanYi Zen Hei"/>
        <family val="2"/>
      </rPr>
      <t xml:space="preserve">で、差は</t>
    </r>
    <r>
      <rPr>
        <sz val="11"/>
        <rFont val="Noto Sans JP"/>
        <family val="0"/>
        <charset val="1"/>
      </rPr>
      <t xml:space="preserve">15</t>
    </r>
    <r>
      <rPr>
        <sz val="11"/>
        <rFont val="WenQuanYi Zen Hei"/>
        <family val="2"/>
      </rPr>
      <t xml:space="preserve">ポイント
</t>
    </r>
    <r>
      <rPr>
        <sz val="11"/>
        <rFont val="Noto Sans JP"/>
        <family val="0"/>
        <charset val="1"/>
      </rPr>
      <t xml:space="preserve">- </t>
    </r>
    <r>
      <rPr>
        <sz val="11"/>
        <rFont val="WenQuanYi Zen Hei"/>
        <family val="2"/>
      </rPr>
      <t xml:space="preserve">要件定義・基本設計：計画</t>
    </r>
    <r>
      <rPr>
        <sz val="11"/>
        <rFont val="Noto Sans JP"/>
        <family val="0"/>
        <charset val="1"/>
      </rPr>
      <t xml:space="preserve">100%</t>
    </r>
    <r>
      <rPr>
        <sz val="11"/>
        <rFont val="WenQuanYi Zen Hei"/>
        <family val="2"/>
      </rPr>
      <t xml:space="preserve">、実績</t>
    </r>
    <r>
      <rPr>
        <sz val="11"/>
        <rFont val="Noto Sans JP"/>
        <family val="0"/>
        <charset val="1"/>
      </rPr>
      <t xml:space="preserve">100%</t>
    </r>
    <r>
      <rPr>
        <sz val="11"/>
        <rFont val="WenQuanYi Zen Hei"/>
        <family val="2"/>
      </rPr>
      <t xml:space="preserve">で、差はなし
なお、結合試験の状況欄には「環境準備済み」と書かれています。</t>
    </r>
  </si>
  <si>
    <t xml:space="preserve">/tmp/out/02-Q04.txt</t>
  </si>
  <si>
    <t xml:space="preserve">できない。総合進捗は成果物の重み付き集計。</t>
  </si>
  <si>
    <r>
      <rPr>
        <sz val="11"/>
        <rFont val="WenQuanYi Zen Hei"/>
        <family val="2"/>
      </rPr>
      <t xml:space="preserve">いいえ、再現できません。
スライド</t>
    </r>
    <r>
      <rPr>
        <sz val="11"/>
        <rFont val="Noto Sans JP"/>
        <family val="0"/>
        <charset val="1"/>
      </rPr>
      <t xml:space="preserve">3</t>
    </r>
    <r>
      <rPr>
        <sz val="11"/>
        <rFont val="WenQuanYi Zen Hei"/>
        <family val="2"/>
      </rPr>
      <t xml:space="preserve">の工程別実績（要件定義</t>
    </r>
    <r>
      <rPr>
        <sz val="11"/>
        <rFont val="Noto Sans JP"/>
        <family val="0"/>
        <charset val="1"/>
      </rPr>
      <t xml:space="preserve">100%</t>
    </r>
    <r>
      <rPr>
        <sz val="11"/>
        <rFont val="WenQuanYi Zen Hei"/>
        <family val="2"/>
      </rPr>
      <t xml:space="preserve">、基本設計</t>
    </r>
    <r>
      <rPr>
        <sz val="11"/>
        <rFont val="Noto Sans JP"/>
        <family val="0"/>
        <charset val="1"/>
      </rPr>
      <t xml:space="preserve">100%</t>
    </r>
    <r>
      <rPr>
        <sz val="11"/>
        <rFont val="WenQuanYi Zen Hei"/>
        <family val="2"/>
      </rPr>
      <t xml:space="preserve">、開発</t>
    </r>
    <r>
      <rPr>
        <sz val="11"/>
        <rFont val="Noto Sans JP"/>
        <family val="0"/>
        <charset val="1"/>
      </rPr>
      <t xml:space="preserve">65%</t>
    </r>
    <r>
      <rPr>
        <sz val="11"/>
        <rFont val="WenQuanYi Zen Hei"/>
        <family val="2"/>
      </rPr>
      <t xml:space="preserve">、結合試験</t>
    </r>
    <r>
      <rPr>
        <sz val="11"/>
        <rFont val="Noto Sans JP"/>
        <family val="0"/>
        <charset val="1"/>
      </rPr>
      <t xml:space="preserve">10%</t>
    </r>
    <r>
      <rPr>
        <sz val="11"/>
        <rFont val="WenQuanYi Zen Hei"/>
        <family val="2"/>
      </rPr>
      <t xml:space="preserve">）を単純平均すると、</t>
    </r>
    <r>
      <rPr>
        <sz val="11"/>
        <rFont val="Noto Sans JP"/>
        <family val="0"/>
        <charset val="1"/>
      </rPr>
      <t xml:space="preserve">(100</t>
    </r>
    <r>
      <rPr>
        <sz val="11"/>
        <rFont val="WenQuanYi Zen Hei"/>
        <family val="2"/>
      </rPr>
      <t xml:space="preserve">＋</t>
    </r>
    <r>
      <rPr>
        <sz val="11"/>
        <rFont val="Noto Sans JP"/>
        <family val="0"/>
        <charset val="1"/>
      </rPr>
      <t xml:space="preserve">100</t>
    </r>
    <r>
      <rPr>
        <sz val="11"/>
        <rFont val="WenQuanYi Zen Hei"/>
        <family val="2"/>
      </rPr>
      <t xml:space="preserve">＋</t>
    </r>
    <r>
      <rPr>
        <sz val="11"/>
        <rFont val="Noto Sans JP"/>
        <family val="0"/>
        <charset val="1"/>
      </rPr>
      <t xml:space="preserve">65</t>
    </r>
    <r>
      <rPr>
        <sz val="11"/>
        <rFont val="WenQuanYi Zen Hei"/>
        <family val="2"/>
      </rPr>
      <t xml:space="preserve">＋</t>
    </r>
    <r>
      <rPr>
        <sz val="11"/>
        <rFont val="Noto Sans JP"/>
        <family val="0"/>
        <charset val="1"/>
      </rPr>
      <t xml:space="preserve">10)÷4</t>
    </r>
    <r>
      <rPr>
        <sz val="11"/>
        <rFont val="WenQuanYi Zen Hei"/>
        <family val="2"/>
      </rPr>
      <t xml:space="preserve">＝</t>
    </r>
    <r>
      <rPr>
        <sz val="11"/>
        <rFont val="Noto Sans JP"/>
        <family val="0"/>
        <charset val="1"/>
      </rPr>
      <t xml:space="preserve">68.75%</t>
    </r>
    <r>
      <rPr>
        <sz val="11"/>
        <rFont val="WenQuanYi Zen Hei"/>
        <family val="2"/>
      </rPr>
      <t xml:space="preserve">となり、総合進捗</t>
    </r>
    <r>
      <rPr>
        <sz val="11"/>
        <rFont val="Noto Sans JP"/>
        <family val="0"/>
        <charset val="1"/>
      </rPr>
      <t xml:space="preserve">62%</t>
    </r>
    <r>
      <rPr>
        <sz val="11"/>
        <rFont val="WenQuanYi Zen Hei"/>
        <family val="2"/>
      </rPr>
      <t xml:space="preserve">とは一致しません。参考までに計画値も単純平均すると</t>
    </r>
    <r>
      <rPr>
        <sz val="11"/>
        <rFont val="Noto Sans JP"/>
        <family val="0"/>
        <charset val="1"/>
      </rPr>
      <t xml:space="preserve">(100</t>
    </r>
    <r>
      <rPr>
        <sz val="11"/>
        <rFont val="WenQuanYi Zen Hei"/>
        <family val="2"/>
      </rPr>
      <t xml:space="preserve">＋</t>
    </r>
    <r>
      <rPr>
        <sz val="11"/>
        <rFont val="Noto Sans JP"/>
        <family val="0"/>
        <charset val="1"/>
      </rPr>
      <t xml:space="preserve">100</t>
    </r>
    <r>
      <rPr>
        <sz val="11"/>
        <rFont val="WenQuanYi Zen Hei"/>
        <family val="2"/>
      </rPr>
      <t xml:space="preserve">＋</t>
    </r>
    <r>
      <rPr>
        <sz val="11"/>
        <rFont val="Noto Sans JP"/>
        <family val="0"/>
        <charset val="1"/>
      </rPr>
      <t xml:space="preserve">80</t>
    </r>
    <r>
      <rPr>
        <sz val="11"/>
        <rFont val="WenQuanYi Zen Hei"/>
        <family val="2"/>
      </rPr>
      <t xml:space="preserve">＋</t>
    </r>
    <r>
      <rPr>
        <sz val="11"/>
        <rFont val="Noto Sans JP"/>
        <family val="0"/>
        <charset val="1"/>
      </rPr>
      <t xml:space="preserve">30)÷4</t>
    </r>
    <r>
      <rPr>
        <sz val="11"/>
        <rFont val="WenQuanYi Zen Hei"/>
        <family val="2"/>
      </rPr>
      <t xml:space="preserve">＝</t>
    </r>
    <r>
      <rPr>
        <sz val="11"/>
        <rFont val="Noto Sans JP"/>
        <family val="0"/>
        <charset val="1"/>
      </rPr>
      <t xml:space="preserve">77.5%</t>
    </r>
    <r>
      <rPr>
        <sz val="11"/>
        <rFont val="WenQuanYi Zen Hei"/>
        <family val="2"/>
      </rPr>
      <t xml:space="preserve">で、スライド</t>
    </r>
    <r>
      <rPr>
        <sz val="11"/>
        <rFont val="Noto Sans JP"/>
        <family val="0"/>
        <charset val="1"/>
      </rPr>
      <t xml:space="preserve">2</t>
    </r>
    <r>
      <rPr>
        <sz val="11"/>
        <rFont val="WenQuanYi Zen Hei"/>
        <family val="2"/>
      </rPr>
      <t xml:space="preserve">の計画</t>
    </r>
    <r>
      <rPr>
        <sz val="11"/>
        <rFont val="Noto Sans JP"/>
        <family val="0"/>
        <charset val="1"/>
      </rPr>
      <t xml:space="preserve">70%</t>
    </r>
    <r>
      <rPr>
        <sz val="11"/>
        <rFont val="WenQuanYi Zen Hei"/>
        <family val="2"/>
      </rPr>
      <t xml:space="preserve">とも一致しません。
スライド</t>
    </r>
    <r>
      <rPr>
        <sz val="11"/>
        <rFont val="Noto Sans JP"/>
        <family val="0"/>
        <charset val="1"/>
      </rPr>
      <t xml:space="preserve">3</t>
    </r>
    <r>
      <rPr>
        <sz val="11"/>
        <rFont val="WenQuanYi Zen Hei"/>
        <family val="2"/>
      </rPr>
      <t xml:space="preserve">の注記に「総合進捗</t>
    </r>
    <r>
      <rPr>
        <sz val="11"/>
        <rFont val="Noto Sans JP"/>
        <family val="0"/>
        <charset val="1"/>
      </rPr>
      <t xml:space="preserve">62%</t>
    </r>
    <r>
      <rPr>
        <sz val="11"/>
        <rFont val="WenQuanYi Zen Hei"/>
        <family val="2"/>
      </rPr>
      <t xml:space="preserve">は別途定めた成果物の重み付き集計。表の単純平均ではない。」と明記されています。</t>
    </r>
    <r>
      <rPr>
        <sz val="11"/>
        <rFont val="Noto Sans JP"/>
        <family val="0"/>
        <charset val="1"/>
      </rPr>
      <t xml:space="preserve">62%</t>
    </r>
    <r>
      <rPr>
        <sz val="11"/>
        <rFont val="WenQuanYi Zen Hei"/>
        <family val="2"/>
      </rPr>
      <t xml:space="preserve">は単純平均ではなく、成果物ごとの重み付けによる集計値です。ただし、その重み（各工程の比重や成果物件数）は資料に記載されていないため、資料の情報だけでは</t>
    </r>
    <r>
      <rPr>
        <sz val="11"/>
        <rFont val="Noto Sans JP"/>
        <family val="0"/>
        <charset val="1"/>
      </rPr>
      <t xml:space="preserve">62%</t>
    </r>
    <r>
      <rPr>
        <sz val="11"/>
        <rFont val="WenQuanYi Zen Hei"/>
        <family val="2"/>
      </rPr>
      <t xml:space="preserve">を再計算して検証することはできません。</t>
    </r>
  </si>
  <si>
    <t xml:space="preserve">/tmp/out/02-Q05.txt</t>
  </si>
  <si>
    <r>
      <rPr>
        <sz val="11"/>
        <rFont val="Noto Sans JP"/>
        <family val="0"/>
        <charset val="1"/>
      </rPr>
      <t xml:space="preserve">2026</t>
    </r>
    <r>
      <rPr>
        <sz val="11"/>
        <rFont val="WenQuanYi Zen Hei"/>
        <family val="2"/>
      </rPr>
      <t xml:space="preserve">年</t>
    </r>
    <r>
      <rPr>
        <sz val="11"/>
        <rFont val="Noto Sans JP"/>
        <family val="0"/>
        <charset val="1"/>
      </rPr>
      <t xml:space="preserve">10</t>
    </r>
    <r>
      <rPr>
        <sz val="11"/>
        <rFont val="WenQuanYi Zen Hei"/>
        <family val="2"/>
      </rPr>
      <t xml:space="preserve">月</t>
    </r>
    <r>
      <rPr>
        <sz val="11"/>
        <rFont val="Noto Sans JP"/>
        <family val="0"/>
        <charset val="1"/>
      </rPr>
      <t xml:space="preserve">16</t>
    </r>
    <r>
      <rPr>
        <sz val="11"/>
        <rFont val="WenQuanYi Zen Hei"/>
        <family val="2"/>
      </rPr>
      <t xml:space="preserve">日、</t>
    </r>
    <r>
      <rPr>
        <sz val="11"/>
        <rFont val="Noto Sans JP"/>
        <family val="0"/>
        <charset val="1"/>
      </rPr>
      <t xml:space="preserve">31</t>
    </r>
    <r>
      <rPr>
        <sz val="11"/>
        <rFont val="WenQuanYi Zen Hei"/>
        <family val="2"/>
      </rPr>
      <t xml:space="preserve">件。</t>
    </r>
  </si>
  <si>
    <r>
      <rPr>
        <sz val="11"/>
        <rFont val="Noto Sans JP"/>
        <family val="0"/>
        <charset val="1"/>
      </rPr>
      <t xml:space="preserve">2026</t>
    </r>
    <r>
      <rPr>
        <sz val="11"/>
        <rFont val="WenQuanYi Zen Hei"/>
        <family val="2"/>
      </rPr>
      <t xml:space="preserve">年</t>
    </r>
    <r>
      <rPr>
        <sz val="11"/>
        <rFont val="Noto Sans JP"/>
        <family val="0"/>
        <charset val="1"/>
      </rPr>
      <t xml:space="preserve">10</t>
    </r>
    <r>
      <rPr>
        <sz val="11"/>
        <rFont val="WenQuanYi Zen Hei"/>
        <family val="2"/>
      </rPr>
      <t xml:space="preserve">月</t>
    </r>
    <r>
      <rPr>
        <sz val="11"/>
        <rFont val="Noto Sans JP"/>
        <family val="0"/>
        <charset val="1"/>
      </rPr>
      <t xml:space="preserve">16</t>
    </r>
    <r>
      <rPr>
        <sz val="11"/>
        <rFont val="WenQuanYi Zen Hei"/>
        <family val="2"/>
      </rPr>
      <t xml:space="preserve">日（金）の</t>
    </r>
    <r>
      <rPr>
        <sz val="11"/>
        <rFont val="Noto Sans JP"/>
        <family val="0"/>
        <charset val="1"/>
      </rPr>
      <t xml:space="preserve">31</t>
    </r>
    <r>
      <rPr>
        <sz val="11"/>
        <rFont val="WenQuanYi Zen Hei"/>
        <family val="2"/>
      </rPr>
      <t xml:space="preserve">件です。</t>
    </r>
  </si>
  <si>
    <t xml:space="preserve">/tmp/out/02-Q06.txt</t>
  </si>
  <si>
    <r>
      <rPr>
        <sz val="11"/>
        <rFont val="Noto Sans JP"/>
        <family val="0"/>
        <charset val="1"/>
      </rPr>
      <t xml:space="preserve">18</t>
    </r>
    <r>
      <rPr>
        <sz val="11"/>
        <rFont val="WenQuanYi Zen Hei"/>
        <family val="2"/>
      </rPr>
      <t xml:space="preserve">件から</t>
    </r>
    <r>
      <rPr>
        <sz val="11"/>
        <rFont val="Noto Sans JP"/>
        <family val="0"/>
        <charset val="1"/>
      </rPr>
      <t xml:space="preserve">28</t>
    </r>
    <r>
      <rPr>
        <sz val="11"/>
        <rFont val="WenQuanYi Zen Hei"/>
        <family val="2"/>
      </rPr>
      <t xml:space="preserve">件で</t>
    </r>
    <r>
      <rPr>
        <sz val="11"/>
        <rFont val="Noto Sans JP"/>
        <family val="0"/>
        <charset val="1"/>
      </rPr>
      <t xml:space="preserve">10</t>
    </r>
    <r>
      <rPr>
        <sz val="11"/>
        <rFont val="WenQuanYi Zen Hei"/>
        <family val="2"/>
      </rPr>
      <t xml:space="preserve">件増加。</t>
    </r>
  </si>
  <si>
    <r>
      <rPr>
        <sz val="11"/>
        <rFont val="Noto Sans JP"/>
        <family val="0"/>
        <charset val="1"/>
      </rPr>
      <t xml:space="preserve">10</t>
    </r>
    <r>
      <rPr>
        <sz val="11"/>
        <rFont val="WenQuanYi Zen Hei"/>
        <family val="2"/>
      </rPr>
      <t xml:space="preserve">月</t>
    </r>
    <r>
      <rPr>
        <sz val="11"/>
        <rFont val="Noto Sans JP"/>
        <family val="0"/>
        <charset val="1"/>
      </rPr>
      <t xml:space="preserve">2</t>
    </r>
    <r>
      <rPr>
        <sz val="11"/>
        <rFont val="WenQuanYi Zen Hei"/>
        <family val="2"/>
      </rPr>
      <t xml:space="preserve">日から</t>
    </r>
    <r>
      <rPr>
        <sz val="11"/>
        <rFont val="Noto Sans JP"/>
        <family val="0"/>
        <charset val="1"/>
      </rPr>
      <t xml:space="preserve">23</t>
    </r>
    <r>
      <rPr>
        <sz val="11"/>
        <rFont val="WenQuanYi Zen Hei"/>
        <family val="2"/>
      </rPr>
      <t xml:space="preserve">日までに、未解決不具合の残件数は</t>
    </r>
    <r>
      <rPr>
        <sz val="11"/>
        <rFont val="Noto Sans JP"/>
        <family val="0"/>
        <charset val="1"/>
      </rPr>
      <t xml:space="preserve">10</t>
    </r>
    <r>
      <rPr>
        <sz val="11"/>
        <rFont val="WenQuanYi Zen Hei"/>
        <family val="2"/>
      </rPr>
      <t xml:space="preserve">件増えました（</t>
    </r>
    <r>
      <rPr>
        <sz val="11"/>
        <rFont val="Noto Sans JP"/>
        <family val="0"/>
        <charset val="1"/>
      </rPr>
      <t xml:space="preserve">18</t>
    </r>
    <r>
      <rPr>
        <sz val="11"/>
        <rFont val="WenQuanYi Zen Hei"/>
        <family val="2"/>
      </rPr>
      <t xml:space="preserve">件から</t>
    </r>
    <r>
      <rPr>
        <sz val="11"/>
        <rFont val="Noto Sans JP"/>
        <family val="0"/>
        <charset val="1"/>
      </rPr>
      <t xml:space="preserve">28</t>
    </r>
    <r>
      <rPr>
        <sz val="11"/>
        <rFont val="WenQuanYi Zen Hei"/>
        <family val="2"/>
      </rPr>
      <t xml:space="preserve">件）。
数字は各金曜日の残件数で、新しく見つかった件数ではありません。週ごとの推移は、</t>
    </r>
    <r>
      <rPr>
        <sz val="11"/>
        <rFont val="Noto Sans JP"/>
        <family val="0"/>
        <charset val="1"/>
      </rPr>
      <t xml:space="preserve">10/2</t>
    </r>
    <r>
      <rPr>
        <sz val="11"/>
        <rFont val="WenQuanYi Zen Hei"/>
        <family val="2"/>
      </rPr>
      <t xml:space="preserve">が</t>
    </r>
    <r>
      <rPr>
        <sz val="11"/>
        <rFont val="Noto Sans JP"/>
        <family val="0"/>
        <charset val="1"/>
      </rPr>
      <t xml:space="preserve">18</t>
    </r>
    <r>
      <rPr>
        <sz val="11"/>
        <rFont val="WenQuanYi Zen Hei"/>
        <family val="2"/>
      </rPr>
      <t xml:space="preserve">件、</t>
    </r>
    <r>
      <rPr>
        <sz val="11"/>
        <rFont val="Noto Sans JP"/>
        <family val="0"/>
        <charset val="1"/>
      </rPr>
      <t xml:space="preserve">10/9</t>
    </r>
    <r>
      <rPr>
        <sz val="11"/>
        <rFont val="WenQuanYi Zen Hei"/>
        <family val="2"/>
      </rPr>
      <t xml:space="preserve">が</t>
    </r>
    <r>
      <rPr>
        <sz val="11"/>
        <rFont val="Noto Sans JP"/>
        <family val="0"/>
        <charset val="1"/>
      </rPr>
      <t xml:space="preserve">22</t>
    </r>
    <r>
      <rPr>
        <sz val="11"/>
        <rFont val="WenQuanYi Zen Hei"/>
        <family val="2"/>
      </rPr>
      <t xml:space="preserve">件（</t>
    </r>
    <r>
      <rPr>
        <sz val="11"/>
        <rFont val="Noto Sans JP"/>
        <family val="0"/>
        <charset val="1"/>
      </rPr>
      <t xml:space="preserve">4</t>
    </r>
    <r>
      <rPr>
        <sz val="11"/>
        <rFont val="WenQuanYi Zen Hei"/>
        <family val="2"/>
      </rPr>
      <t xml:space="preserve">件増）、</t>
    </r>
    <r>
      <rPr>
        <sz val="11"/>
        <rFont val="Noto Sans JP"/>
        <family val="0"/>
        <charset val="1"/>
      </rPr>
      <t xml:space="preserve">10/16</t>
    </r>
    <r>
      <rPr>
        <sz val="11"/>
        <rFont val="WenQuanYi Zen Hei"/>
        <family val="2"/>
      </rPr>
      <t xml:space="preserve">が</t>
    </r>
    <r>
      <rPr>
        <sz val="11"/>
        <rFont val="Noto Sans JP"/>
        <family val="0"/>
        <charset val="1"/>
      </rPr>
      <t xml:space="preserve">31</t>
    </r>
    <r>
      <rPr>
        <sz val="11"/>
        <rFont val="WenQuanYi Zen Hei"/>
        <family val="2"/>
      </rPr>
      <t xml:space="preserve">件（</t>
    </r>
    <r>
      <rPr>
        <sz val="11"/>
        <rFont val="Noto Sans JP"/>
        <family val="0"/>
        <charset val="1"/>
      </rPr>
      <t xml:space="preserve">9</t>
    </r>
    <r>
      <rPr>
        <sz val="11"/>
        <rFont val="WenQuanYi Zen Hei"/>
        <family val="2"/>
      </rPr>
      <t xml:space="preserve">件増）、</t>
    </r>
    <r>
      <rPr>
        <sz val="11"/>
        <rFont val="Noto Sans JP"/>
        <family val="0"/>
        <charset val="1"/>
      </rPr>
      <t xml:space="preserve">10/23</t>
    </r>
    <r>
      <rPr>
        <sz val="11"/>
        <rFont val="WenQuanYi Zen Hei"/>
        <family val="2"/>
      </rPr>
      <t xml:space="preserve">が</t>
    </r>
    <r>
      <rPr>
        <sz val="11"/>
        <rFont val="Noto Sans JP"/>
        <family val="0"/>
        <charset val="1"/>
      </rPr>
      <t xml:space="preserve">28</t>
    </r>
    <r>
      <rPr>
        <sz val="11"/>
        <rFont val="WenQuanYi Zen Hei"/>
        <family val="2"/>
      </rPr>
      <t xml:space="preserve">件（</t>
    </r>
    <r>
      <rPr>
        <sz val="11"/>
        <rFont val="Noto Sans JP"/>
        <family val="0"/>
        <charset val="1"/>
      </rPr>
      <t xml:space="preserve">3</t>
    </r>
    <r>
      <rPr>
        <sz val="11"/>
        <rFont val="WenQuanYi Zen Hei"/>
        <family val="2"/>
      </rPr>
      <t xml:space="preserve">件減）です。</t>
    </r>
    <r>
      <rPr>
        <sz val="11"/>
        <rFont val="Noto Sans JP"/>
        <family val="0"/>
        <charset val="1"/>
      </rPr>
      <t xml:space="preserve">10/16</t>
    </r>
    <r>
      <rPr>
        <sz val="11"/>
        <rFont val="WenQuanYi Zen Hei"/>
        <family val="2"/>
      </rPr>
      <t xml:space="preserve">がいちばん多く、直近の</t>
    </r>
    <r>
      <rPr>
        <sz val="11"/>
        <rFont val="Noto Sans JP"/>
        <family val="0"/>
        <charset val="1"/>
      </rPr>
      <t xml:space="preserve">1</t>
    </r>
    <r>
      <rPr>
        <sz val="11"/>
        <rFont val="WenQuanYi Zen Hei"/>
        <family val="2"/>
      </rPr>
      <t xml:space="preserve">週間は減っています。
（出典：スライド</t>
    </r>
    <r>
      <rPr>
        <sz val="11"/>
        <rFont val="Noto Sans JP"/>
        <family val="0"/>
        <charset val="1"/>
      </rPr>
      <t xml:space="preserve">4</t>
    </r>
    <r>
      <rPr>
        <sz val="11"/>
        <rFont val="WenQuanYi Zen Hei"/>
        <family val="2"/>
      </rPr>
      <t xml:space="preserve">「未解決不具合は直近</t>
    </r>
    <r>
      <rPr>
        <sz val="11"/>
        <rFont val="Noto Sans JP"/>
        <family val="0"/>
        <charset val="1"/>
      </rPr>
      <t xml:space="preserve">4</t>
    </r>
    <r>
      <rPr>
        <sz val="11"/>
        <rFont val="WenQuanYi Zen Hei"/>
        <family val="2"/>
      </rPr>
      <t xml:space="preserve">週で増加」）</t>
    </r>
  </si>
  <si>
    <t xml:space="preserve">/tmp/out/02-Q07.txt</t>
  </si>
  <si>
    <r>
      <rPr>
        <sz val="11"/>
        <rFont val="Noto Sans JP"/>
        <family val="0"/>
        <charset val="1"/>
      </rPr>
      <t xml:space="preserve">3</t>
    </r>
    <r>
      <rPr>
        <sz val="11"/>
        <rFont val="WenQuanYi Zen Hei"/>
        <family val="2"/>
      </rPr>
      <t xml:space="preserve">件、</t>
    </r>
    <r>
      <rPr>
        <sz val="11"/>
        <rFont val="Noto Sans JP"/>
        <family val="0"/>
        <charset val="1"/>
      </rPr>
      <t xml:space="preserve">2026</t>
    </r>
    <r>
      <rPr>
        <sz val="11"/>
        <rFont val="WenQuanYi Zen Hei"/>
        <family val="2"/>
      </rPr>
      <t xml:space="preserve">年</t>
    </r>
    <r>
      <rPr>
        <sz val="11"/>
        <rFont val="Noto Sans JP"/>
        <family val="0"/>
        <charset val="1"/>
      </rPr>
      <t xml:space="preserve">10</t>
    </r>
    <r>
      <rPr>
        <sz val="11"/>
        <rFont val="WenQuanYi Zen Hei"/>
        <family val="2"/>
      </rPr>
      <t xml:space="preserve">月</t>
    </r>
    <r>
      <rPr>
        <sz val="11"/>
        <rFont val="Noto Sans JP"/>
        <family val="0"/>
        <charset val="1"/>
      </rPr>
      <t xml:space="preserve">30</t>
    </r>
    <r>
      <rPr>
        <sz val="11"/>
        <rFont val="WenQuanYi Zen Hei"/>
        <family val="2"/>
      </rPr>
      <t xml:space="preserve">日、開発リーダー。</t>
    </r>
  </si>
  <si>
    <r>
      <rPr>
        <sz val="11"/>
        <rFont val="WenQuanYi Zen Hei"/>
        <family val="2"/>
      </rPr>
      <t xml:space="preserve">重大不具合の残件数は</t>
    </r>
    <r>
      <rPr>
        <sz val="11"/>
        <rFont val="Noto Sans JP"/>
        <family val="0"/>
        <charset val="1"/>
      </rPr>
      <t xml:space="preserve">3</t>
    </r>
    <r>
      <rPr>
        <sz val="11"/>
        <rFont val="WenQuanYi Zen Hei"/>
        <family val="2"/>
      </rPr>
      <t xml:space="preserve">件、対応期限は</t>
    </r>
    <r>
      <rPr>
        <sz val="11"/>
        <rFont val="Noto Sans JP"/>
        <family val="0"/>
        <charset val="1"/>
      </rPr>
      <t xml:space="preserve">10/30</t>
    </r>
    <r>
      <rPr>
        <sz val="11"/>
        <rFont val="WenQuanYi Zen Hei"/>
        <family val="2"/>
      </rPr>
      <t xml:space="preserve">、担当は開発リーダーです（</t>
    </r>
    <r>
      <rPr>
        <sz val="11"/>
        <rFont val="Noto Sans JP"/>
        <family val="0"/>
        <charset val="1"/>
      </rPr>
      <t xml:space="preserve">10</t>
    </r>
    <r>
      <rPr>
        <sz val="11"/>
        <rFont val="WenQuanYi Zen Hei"/>
        <family val="2"/>
      </rPr>
      <t xml:space="preserve">月</t>
    </r>
    <r>
      <rPr>
        <sz val="11"/>
        <rFont val="Noto Sans JP"/>
        <family val="0"/>
        <charset val="1"/>
      </rPr>
      <t xml:space="preserve">23</t>
    </r>
    <r>
      <rPr>
        <sz val="11"/>
        <rFont val="WenQuanYi Zen Hei"/>
        <family val="2"/>
      </rPr>
      <t xml:space="preserve">日時点の未解決不具合</t>
    </r>
    <r>
      <rPr>
        <sz val="11"/>
        <rFont val="Noto Sans JP"/>
        <family val="0"/>
        <charset val="1"/>
      </rPr>
      <t xml:space="preserve">28</t>
    </r>
    <r>
      <rPr>
        <sz val="11"/>
        <rFont val="WenQuanYi Zen Hei"/>
        <family val="2"/>
      </rPr>
      <t xml:space="preserve">件の内訳、スライド</t>
    </r>
    <r>
      <rPr>
        <sz val="11"/>
        <rFont val="Noto Sans JP"/>
        <family val="0"/>
        <charset val="1"/>
      </rPr>
      <t xml:space="preserve">5</t>
    </r>
    <r>
      <rPr>
        <sz val="11"/>
        <rFont val="WenQuanYi Zen Hei"/>
        <family val="2"/>
      </rPr>
      <t xml:space="preserve">）。</t>
    </r>
  </si>
  <si>
    <r>
      <rPr>
        <sz val="11"/>
        <rFont val="WenQuanYi Zen Hei"/>
        <family val="2"/>
      </rPr>
      <t xml:space="preserve">期限を「</t>
    </r>
    <r>
      <rPr>
        <sz val="11"/>
        <rFont val="Noto Sans JP"/>
        <family val="0"/>
        <charset val="1"/>
      </rPr>
      <t xml:space="preserve">10/30</t>
    </r>
    <r>
      <rPr>
        <sz val="11"/>
        <rFont val="WenQuanYi Zen Hei"/>
        <family val="2"/>
      </rPr>
      <t xml:space="preserve">」と年なしで回答。資料表記（スライド</t>
    </r>
    <r>
      <rPr>
        <sz val="11"/>
        <rFont val="Noto Sans JP"/>
        <family val="0"/>
        <charset val="1"/>
      </rPr>
      <t xml:space="preserve">5</t>
    </r>
    <r>
      <rPr>
        <sz val="11"/>
        <rFont val="WenQuanYi Zen Hei"/>
        <family val="2"/>
      </rPr>
      <t xml:space="preserve">）と同じ表記で、報告基準日</t>
    </r>
    <r>
      <rPr>
        <sz val="11"/>
        <rFont val="Noto Sans JP"/>
        <family val="0"/>
        <charset val="1"/>
      </rPr>
      <t xml:space="preserve">2026</t>
    </r>
    <r>
      <rPr>
        <sz val="11"/>
        <rFont val="WenQuanYi Zen Hei"/>
        <family val="2"/>
      </rPr>
      <t xml:space="preserve">年の文脈から同一日付のため同値の言い換えとして一致扱い。</t>
    </r>
  </si>
  <si>
    <t xml:space="preserve">/tmp/out/02-Q08.txt</t>
  </si>
  <si>
    <r>
      <rPr>
        <sz val="11"/>
        <rFont val="Noto Sans JP"/>
        <family val="0"/>
        <charset val="1"/>
      </rPr>
      <t xml:space="preserve">3</t>
    </r>
    <r>
      <rPr>
        <sz val="11"/>
        <rFont val="WenQuanYi Zen Hei"/>
        <family val="2"/>
      </rPr>
      <t xml:space="preserve">＋</t>
    </r>
    <r>
      <rPr>
        <sz val="11"/>
        <rFont val="Noto Sans JP"/>
        <family val="0"/>
        <charset val="1"/>
      </rPr>
      <t xml:space="preserve">8</t>
    </r>
    <r>
      <rPr>
        <sz val="11"/>
        <rFont val="WenQuanYi Zen Hei"/>
        <family val="2"/>
      </rPr>
      <t xml:space="preserve">＝</t>
    </r>
    <r>
      <rPr>
        <sz val="11"/>
        <rFont val="Noto Sans JP"/>
        <family val="0"/>
        <charset val="1"/>
      </rPr>
      <t xml:space="preserve">11</t>
    </r>
    <r>
      <rPr>
        <sz val="11"/>
        <rFont val="WenQuanYi Zen Hei"/>
        <family val="2"/>
      </rPr>
      <t xml:space="preserve">件。</t>
    </r>
  </si>
  <si>
    <r>
      <rPr>
        <sz val="11"/>
        <rFont val="WenQuanYi Zen Hei"/>
        <family val="2"/>
      </rPr>
      <t xml:space="preserve">重大と高の不具合は合計</t>
    </r>
    <r>
      <rPr>
        <sz val="11"/>
        <rFont val="Noto Sans JP"/>
        <family val="0"/>
        <charset val="1"/>
      </rPr>
      <t xml:space="preserve">11</t>
    </r>
    <r>
      <rPr>
        <sz val="11"/>
        <rFont val="WenQuanYi Zen Hei"/>
        <family val="2"/>
      </rPr>
      <t xml:space="preserve">件です（重大</t>
    </r>
    <r>
      <rPr>
        <sz val="11"/>
        <rFont val="Noto Sans JP"/>
        <family val="0"/>
        <charset val="1"/>
      </rPr>
      <t xml:space="preserve">3</t>
    </r>
    <r>
      <rPr>
        <sz val="11"/>
        <rFont val="WenQuanYi Zen Hei"/>
        <family val="2"/>
      </rPr>
      <t xml:space="preserve">件＋高</t>
    </r>
    <r>
      <rPr>
        <sz val="11"/>
        <rFont val="Noto Sans JP"/>
        <family val="0"/>
        <charset val="1"/>
      </rPr>
      <t xml:space="preserve">8</t>
    </r>
    <r>
      <rPr>
        <sz val="11"/>
        <rFont val="WenQuanYi Zen Hei"/>
        <family val="2"/>
      </rPr>
      <t xml:space="preserve">件、</t>
    </r>
    <r>
      <rPr>
        <sz val="11"/>
        <rFont val="Noto Sans JP"/>
        <family val="0"/>
        <charset val="1"/>
      </rPr>
      <t xml:space="preserve">2026</t>
    </r>
    <r>
      <rPr>
        <sz val="11"/>
        <rFont val="WenQuanYi Zen Hei"/>
        <family val="2"/>
      </rPr>
      <t xml:space="preserve">年</t>
    </r>
    <r>
      <rPr>
        <sz val="11"/>
        <rFont val="Noto Sans JP"/>
        <family val="0"/>
        <charset val="1"/>
      </rPr>
      <t xml:space="preserve">10</t>
    </r>
    <r>
      <rPr>
        <sz val="11"/>
        <rFont val="WenQuanYi Zen Hei"/>
        <family val="2"/>
      </rPr>
      <t xml:space="preserve">月</t>
    </r>
    <r>
      <rPr>
        <sz val="11"/>
        <rFont val="Noto Sans JP"/>
        <family val="0"/>
        <charset val="1"/>
      </rPr>
      <t xml:space="preserve">23</t>
    </r>
    <r>
      <rPr>
        <sz val="11"/>
        <rFont val="WenQuanYi Zen Hei"/>
        <family val="2"/>
      </rPr>
      <t xml:space="preserve">日時点の未解決件数。スライド</t>
    </r>
    <r>
      <rPr>
        <sz val="11"/>
        <rFont val="Noto Sans JP"/>
        <family val="0"/>
        <charset val="1"/>
      </rPr>
      <t xml:space="preserve">5</t>
    </r>
    <r>
      <rPr>
        <sz val="11"/>
        <rFont val="WenQuanYi Zen Hei"/>
        <family val="2"/>
      </rPr>
      <t xml:space="preserve">より）。</t>
    </r>
  </si>
  <si>
    <t xml:space="preserve">/tmp/out/02-Q09.txt</t>
  </si>
  <si>
    <r>
      <rPr>
        <sz val="11"/>
        <rFont val="Noto Sans JP"/>
        <family val="0"/>
        <charset val="1"/>
      </rPr>
      <t xml:space="preserve">10,000÷1,000</t>
    </r>
    <r>
      <rPr>
        <sz val="11"/>
        <rFont val="WenQuanYi Zen Hei"/>
        <family val="2"/>
      </rPr>
      <t xml:space="preserve">＝</t>
    </r>
    <r>
      <rPr>
        <sz val="11"/>
        <rFont val="Noto Sans JP"/>
        <family val="0"/>
        <charset val="1"/>
      </rPr>
      <t xml:space="preserve">10</t>
    </r>
    <r>
      <rPr>
        <sz val="11"/>
        <rFont val="WenQuanYi Zen Hei"/>
        <family val="2"/>
      </rPr>
      <t xml:space="preserve">倍。</t>
    </r>
  </si>
  <si>
    <r>
      <rPr>
        <sz val="11"/>
        <rFont val="Noto Sans JP"/>
        <family val="0"/>
        <charset val="1"/>
      </rPr>
      <t xml:space="preserve">CR-07</t>
    </r>
    <r>
      <rPr>
        <sz val="11"/>
        <rFont val="WenQuanYi Zen Hei"/>
        <family val="2"/>
      </rPr>
      <t xml:space="preserve">の取込上限は当初の</t>
    </r>
    <r>
      <rPr>
        <sz val="11"/>
        <rFont val="Noto Sans JP"/>
        <family val="0"/>
        <charset val="1"/>
      </rPr>
      <t xml:space="preserve">10</t>
    </r>
    <r>
      <rPr>
        <sz val="11"/>
        <rFont val="WenQuanYi Zen Hei"/>
        <family val="2"/>
      </rPr>
      <t xml:space="preserve">倍になります（当初</t>
    </r>
    <r>
      <rPr>
        <sz val="11"/>
        <rFont val="Noto Sans JP"/>
        <family val="0"/>
        <charset val="1"/>
      </rPr>
      <t xml:space="preserve">1,000</t>
    </r>
    <r>
      <rPr>
        <sz val="11"/>
        <rFont val="WenQuanYi Zen Hei"/>
        <family val="2"/>
      </rPr>
      <t xml:space="preserve">件／回 → 変更案</t>
    </r>
    <r>
      <rPr>
        <sz val="11"/>
        <rFont val="Noto Sans JP"/>
        <family val="0"/>
        <charset val="1"/>
      </rPr>
      <t xml:space="preserve">10,000</t>
    </r>
    <r>
      <rPr>
        <sz val="11"/>
        <rFont val="WenQuanYi Zen Hei"/>
        <family val="2"/>
      </rPr>
      <t xml:space="preserve">件／回）。</t>
    </r>
  </si>
  <si>
    <t xml:space="preserve">/tmp/out/02-Q10.txt</t>
  </si>
  <si>
    <r>
      <rPr>
        <sz val="11"/>
        <rFont val="WenQuanYi Zen Hei"/>
        <family val="2"/>
      </rPr>
      <t xml:space="preserve">未承認。</t>
    </r>
    <r>
      <rPr>
        <sz val="11"/>
        <rFont val="Noto Sans JP"/>
        <family val="0"/>
        <charset val="1"/>
      </rPr>
      <t xml:space="preserve">10</t>
    </r>
    <r>
      <rPr>
        <sz val="11"/>
        <rFont val="WenQuanYi Zen Hei"/>
        <family val="2"/>
      </rPr>
      <t xml:space="preserve">月</t>
    </r>
    <r>
      <rPr>
        <sz val="11"/>
        <rFont val="Noto Sans JP"/>
        <family val="0"/>
        <charset val="1"/>
      </rPr>
      <t xml:space="preserve">20</t>
    </r>
    <r>
      <rPr>
        <sz val="11"/>
        <rFont val="WenQuanYi Zen Hei"/>
        <family val="2"/>
      </rPr>
      <t xml:space="preserve">日受付、</t>
    </r>
    <r>
      <rPr>
        <sz val="11"/>
        <rFont val="Noto Sans JP"/>
        <family val="0"/>
        <charset val="1"/>
      </rPr>
      <t xml:space="preserve">10</t>
    </r>
    <r>
      <rPr>
        <sz val="11"/>
        <rFont val="WenQuanYi Zen Hei"/>
        <family val="2"/>
      </rPr>
      <t xml:space="preserve">月</t>
    </r>
    <r>
      <rPr>
        <sz val="11"/>
        <rFont val="Noto Sans JP"/>
        <family val="0"/>
        <charset val="1"/>
      </rPr>
      <t xml:space="preserve">23</t>
    </r>
    <r>
      <rPr>
        <sz val="11"/>
        <rFont val="WenQuanYi Zen Hei"/>
        <family val="2"/>
      </rPr>
      <t xml:space="preserve">日時点では未承認。</t>
    </r>
  </si>
  <si>
    <r>
      <rPr>
        <sz val="11"/>
        <rFont val="WenQuanYi Zen Hei"/>
        <family val="2"/>
      </rPr>
      <t xml:space="preserve">いいえ、承認されていません。報告基準日（</t>
    </r>
    <r>
      <rPr>
        <sz val="11"/>
        <rFont val="Noto Sans JP"/>
        <family val="0"/>
        <charset val="1"/>
      </rPr>
      <t xml:space="preserve">2026</t>
    </r>
    <r>
      <rPr>
        <sz val="11"/>
        <rFont val="WenQuanYi Zen Hei"/>
        <family val="2"/>
      </rPr>
      <t xml:space="preserve">年</t>
    </r>
    <r>
      <rPr>
        <sz val="11"/>
        <rFont val="Noto Sans JP"/>
        <family val="0"/>
        <charset val="1"/>
      </rPr>
      <t xml:space="preserve">10</t>
    </r>
    <r>
      <rPr>
        <sz val="11"/>
        <rFont val="WenQuanYi Zen Hei"/>
        <family val="2"/>
      </rPr>
      <t xml:space="preserve">月</t>
    </r>
    <r>
      <rPr>
        <sz val="11"/>
        <rFont val="Noto Sans JP"/>
        <family val="0"/>
        <charset val="1"/>
      </rPr>
      <t xml:space="preserve">23</t>
    </r>
    <r>
      <rPr>
        <sz val="11"/>
        <rFont val="WenQuanYi Zen Hei"/>
        <family val="2"/>
      </rPr>
      <t xml:space="preserve">日）の時点で、</t>
    </r>
    <r>
      <rPr>
        <sz val="11"/>
        <rFont val="Noto Sans JP"/>
        <family val="0"/>
        <charset val="1"/>
      </rPr>
      <t xml:space="preserve">CR-07</t>
    </r>
    <r>
      <rPr>
        <sz val="11"/>
        <rFont val="WenQuanYi Zen Hei"/>
        <family val="2"/>
      </rPr>
      <t xml:space="preserve">は未承認です。
根拠</t>
    </r>
    <r>
      <rPr>
        <sz val="11"/>
        <rFont val="Noto Sans JP"/>
        <family val="0"/>
        <charset val="1"/>
      </rPr>
      <t xml:space="preserve">:
- </t>
    </r>
    <r>
      <rPr>
        <sz val="11"/>
        <rFont val="WenQuanYi Zen Hei"/>
        <family val="2"/>
      </rPr>
      <t xml:space="preserve">スライド</t>
    </r>
    <r>
      <rPr>
        <sz val="11"/>
        <rFont val="Noto Sans JP"/>
        <family val="0"/>
        <charset val="1"/>
      </rPr>
      <t xml:space="preserve">6</t>
    </r>
    <r>
      <rPr>
        <sz val="11"/>
        <rFont val="WenQuanYi Zen Hei"/>
        <family val="2"/>
      </rPr>
      <t xml:space="preserve">の見出しに「</t>
    </r>
    <r>
      <rPr>
        <sz val="11"/>
        <rFont val="Noto Sans JP"/>
        <family val="0"/>
        <charset val="1"/>
      </rPr>
      <t xml:space="preserve">10</t>
    </r>
    <r>
      <rPr>
        <sz val="11"/>
        <rFont val="WenQuanYi Zen Hei"/>
        <family val="2"/>
      </rPr>
      <t xml:space="preserve">月</t>
    </r>
    <r>
      <rPr>
        <sz val="11"/>
        <rFont val="Noto Sans JP"/>
        <family val="0"/>
        <charset val="1"/>
      </rPr>
      <t xml:space="preserve">20</t>
    </r>
    <r>
      <rPr>
        <sz val="11"/>
        <rFont val="WenQuanYi Zen Hei"/>
        <family val="2"/>
      </rPr>
      <t xml:space="preserve">日受付。</t>
    </r>
    <r>
      <rPr>
        <sz val="11"/>
        <rFont val="Noto Sans JP"/>
        <family val="0"/>
        <charset val="1"/>
      </rPr>
      <t xml:space="preserve">10</t>
    </r>
    <r>
      <rPr>
        <sz val="11"/>
        <rFont val="WenQuanYi Zen Hei"/>
        <family val="2"/>
      </rPr>
      <t xml:space="preserve">月</t>
    </r>
    <r>
      <rPr>
        <sz val="11"/>
        <rFont val="Noto Sans JP"/>
        <family val="0"/>
        <charset val="1"/>
      </rPr>
      <t xml:space="preserve">23</t>
    </r>
    <r>
      <rPr>
        <sz val="11"/>
        <rFont val="WenQuanYi Zen Hei"/>
        <family val="2"/>
      </rPr>
      <t xml:space="preserve">日時点では未承認」とあります。
</t>
    </r>
    <r>
      <rPr>
        <sz val="11"/>
        <rFont val="Noto Sans JP"/>
        <family val="0"/>
        <charset val="1"/>
      </rPr>
      <t xml:space="preserve">- </t>
    </r>
    <r>
      <rPr>
        <sz val="11"/>
        <rFont val="WenQuanYi Zen Hei"/>
        <family val="2"/>
      </rPr>
      <t xml:space="preserve">スライド</t>
    </r>
    <r>
      <rPr>
        <sz val="11"/>
        <rFont val="Noto Sans JP"/>
        <family val="0"/>
        <charset val="1"/>
      </rPr>
      <t xml:space="preserve">2</t>
    </r>
    <r>
      <rPr>
        <sz val="11"/>
        <rFont val="WenQuanYi Zen Hei"/>
        <family val="2"/>
      </rPr>
      <t xml:space="preserve">の「本日の決裁依頼」に「追加費用</t>
    </r>
    <r>
      <rPr>
        <sz val="11"/>
        <rFont val="Noto Sans JP"/>
        <family val="0"/>
        <charset val="1"/>
      </rPr>
      <t xml:space="preserve">160</t>
    </r>
    <r>
      <rPr>
        <sz val="11"/>
        <rFont val="WenQuanYi Zen Hei"/>
        <family val="2"/>
      </rPr>
      <t xml:space="preserve">万円、</t>
    </r>
    <r>
      <rPr>
        <sz val="11"/>
        <rFont val="Noto Sans JP"/>
        <family val="0"/>
        <charset val="1"/>
      </rPr>
      <t xml:space="preserve">CR-07</t>
    </r>
    <r>
      <rPr>
        <sz val="11"/>
        <rFont val="WenQuanYi Zen Hei"/>
        <family val="2"/>
      </rPr>
      <t xml:space="preserve">の承認」が挙がっています。スライド</t>
    </r>
    <r>
      <rPr>
        <sz val="11"/>
        <rFont val="Noto Sans JP"/>
        <family val="0"/>
        <charset val="1"/>
      </rPr>
      <t xml:space="preserve">10</t>
    </r>
    <r>
      <rPr>
        <sz val="11"/>
        <rFont val="WenQuanYi Zen Hei"/>
        <family val="2"/>
      </rPr>
      <t xml:space="preserve">でも「追加費用</t>
    </r>
    <r>
      <rPr>
        <sz val="11"/>
        <rFont val="Noto Sans JP"/>
        <family val="0"/>
        <charset val="1"/>
      </rPr>
      <t xml:space="preserve">160</t>
    </r>
    <r>
      <rPr>
        <sz val="11"/>
        <rFont val="WenQuanYi Zen Hei"/>
        <family val="2"/>
      </rPr>
      <t xml:space="preserve">万円と</t>
    </r>
    <r>
      <rPr>
        <sz val="11"/>
        <rFont val="Noto Sans JP"/>
        <family val="0"/>
        <charset val="1"/>
      </rPr>
      <t xml:space="preserve">CR-07</t>
    </r>
    <r>
      <rPr>
        <sz val="11"/>
        <rFont val="WenQuanYi Zen Hei"/>
        <family val="2"/>
      </rPr>
      <t xml:space="preserve">の決裁」は事業部長が期限</t>
    </r>
    <r>
      <rPr>
        <sz val="11"/>
        <rFont val="Noto Sans JP"/>
        <family val="0"/>
        <charset val="1"/>
      </rPr>
      <t xml:space="preserve">10/23</t>
    </r>
    <r>
      <rPr>
        <sz val="11"/>
        <rFont val="WenQuanYi Zen Hei"/>
        <family val="2"/>
      </rPr>
      <t xml:space="preserve">で行う事項になっています。つまり基準日当日のステアリングコミッティで決裁を求めている段階です。</t>
    </r>
  </si>
  <si>
    <t xml:space="preserve">/tmp/out/02-Q11.txt</t>
  </si>
  <si>
    <r>
      <rPr>
        <sz val="11"/>
        <rFont val="WenQuanYi Zen Hei"/>
        <family val="2"/>
      </rPr>
      <t xml:space="preserve">総</t>
    </r>
    <r>
      <rPr>
        <sz val="11"/>
        <rFont val="Noto Sans JP"/>
        <family val="0"/>
        <charset val="1"/>
      </rPr>
      <t xml:space="preserve">40</t>
    </r>
    <r>
      <rPr>
        <sz val="11"/>
        <rFont val="WenQuanYi Zen Hei"/>
        <family val="2"/>
      </rPr>
      <t xml:space="preserve">人日。</t>
    </r>
    <r>
      <rPr>
        <sz val="11"/>
        <rFont val="Noto Sans JP"/>
        <family val="0"/>
        <charset val="1"/>
      </rPr>
      <t xml:space="preserve">CR-07</t>
    </r>
    <r>
      <rPr>
        <sz val="11"/>
        <rFont val="WenQuanYi Zen Hei"/>
        <family val="2"/>
      </rPr>
      <t xml:space="preserve">に</t>
    </r>
    <r>
      <rPr>
        <sz val="11"/>
        <rFont val="Noto Sans JP"/>
        <family val="0"/>
        <charset val="1"/>
      </rPr>
      <t xml:space="preserve">20</t>
    </r>
    <r>
      <rPr>
        <sz val="11"/>
        <rFont val="WenQuanYi Zen Hei"/>
        <family val="2"/>
      </rPr>
      <t xml:space="preserve">人日、遅延回復に</t>
    </r>
    <r>
      <rPr>
        <sz val="11"/>
        <rFont val="Noto Sans JP"/>
        <family val="0"/>
        <charset val="1"/>
      </rPr>
      <t xml:space="preserve">20</t>
    </r>
    <r>
      <rPr>
        <sz val="11"/>
        <rFont val="WenQuanYi Zen Hei"/>
        <family val="2"/>
      </rPr>
      <t xml:space="preserve">人日。</t>
    </r>
  </si>
  <si>
    <r>
      <rPr>
        <sz val="11"/>
        <rFont val="WenQuanYi Zen Hei"/>
        <family val="2"/>
      </rPr>
      <t xml:space="preserve">追加要員の総人日は</t>
    </r>
    <r>
      <rPr>
        <sz val="11"/>
        <rFont val="Noto Sans JP"/>
        <family val="0"/>
        <charset val="1"/>
      </rPr>
      <t xml:space="preserve">40</t>
    </r>
    <r>
      <rPr>
        <sz val="11"/>
        <rFont val="WenQuanYi Zen Hei"/>
        <family val="2"/>
      </rPr>
      <t xml:space="preserve">人日（追加</t>
    </r>
    <r>
      <rPr>
        <sz val="11"/>
        <rFont val="Noto Sans JP"/>
        <family val="0"/>
        <charset val="1"/>
      </rPr>
      <t xml:space="preserve">2</t>
    </r>
    <r>
      <rPr>
        <sz val="11"/>
        <rFont val="WenQuanYi Zen Hei"/>
        <family val="2"/>
      </rPr>
      <t xml:space="preserve">名</t>
    </r>
    <r>
      <rPr>
        <sz val="11"/>
        <rFont val="Noto Sans JP"/>
        <family val="0"/>
        <charset val="1"/>
      </rPr>
      <t xml:space="preserve">×20</t>
    </r>
    <r>
      <rPr>
        <sz val="11"/>
        <rFont val="WenQuanYi Zen Hei"/>
        <family val="2"/>
      </rPr>
      <t xml:space="preserve">営業日）で、そのうち遅延回復に充てるのは</t>
    </r>
    <r>
      <rPr>
        <sz val="11"/>
        <rFont val="Noto Sans JP"/>
        <family val="0"/>
        <charset val="1"/>
      </rPr>
      <t xml:space="preserve">20</t>
    </r>
    <r>
      <rPr>
        <sz val="11"/>
        <rFont val="WenQuanYi Zen Hei"/>
        <family val="2"/>
      </rPr>
      <t xml:space="preserve">人日です（残り</t>
    </r>
    <r>
      <rPr>
        <sz val="11"/>
        <rFont val="Noto Sans JP"/>
        <family val="0"/>
        <charset val="1"/>
      </rPr>
      <t xml:space="preserve">20</t>
    </r>
    <r>
      <rPr>
        <sz val="11"/>
        <rFont val="WenQuanYi Zen Hei"/>
        <family val="2"/>
      </rPr>
      <t xml:space="preserve">人日は</t>
    </r>
    <r>
      <rPr>
        <sz val="11"/>
        <rFont val="Noto Sans JP"/>
        <family val="0"/>
        <charset val="1"/>
      </rPr>
      <t xml:space="preserve">CR-07</t>
    </r>
    <r>
      <rPr>
        <sz val="11"/>
        <rFont val="WenQuanYi Zen Hei"/>
        <family val="2"/>
      </rPr>
      <t xml:space="preserve">に充当）。</t>
    </r>
  </si>
  <si>
    <t xml:space="preserve">/tmp/out/02-Q12.txt</t>
  </si>
  <si>
    <r>
      <rPr>
        <sz val="11"/>
        <rFont val="Noto Sans JP"/>
        <family val="0"/>
        <charset val="1"/>
      </rPr>
      <t xml:space="preserve">2026</t>
    </r>
    <r>
      <rPr>
        <sz val="11"/>
        <rFont val="WenQuanYi Zen Hei"/>
        <family val="2"/>
      </rPr>
      <t xml:space="preserve">年</t>
    </r>
    <r>
      <rPr>
        <sz val="11"/>
        <rFont val="Noto Sans JP"/>
        <family val="0"/>
        <charset val="1"/>
      </rPr>
      <t xml:space="preserve">11</t>
    </r>
    <r>
      <rPr>
        <sz val="11"/>
        <rFont val="WenQuanYi Zen Hei"/>
        <family val="2"/>
      </rPr>
      <t xml:space="preserve">月</t>
    </r>
    <r>
      <rPr>
        <sz val="11"/>
        <rFont val="Noto Sans JP"/>
        <family val="0"/>
        <charset val="1"/>
      </rPr>
      <t xml:space="preserve">30</t>
    </r>
    <r>
      <rPr>
        <sz val="11"/>
        <rFont val="WenQuanYi Zen Hei"/>
        <family val="2"/>
      </rPr>
      <t xml:space="preserve">日～</t>
    </r>
    <r>
      <rPr>
        <sz val="11"/>
        <rFont val="Noto Sans JP"/>
        <family val="0"/>
        <charset val="1"/>
      </rPr>
      <t xml:space="preserve">12</t>
    </r>
    <r>
      <rPr>
        <sz val="11"/>
        <rFont val="WenQuanYi Zen Hei"/>
        <family val="2"/>
      </rPr>
      <t xml:space="preserve">月</t>
    </r>
    <r>
      <rPr>
        <sz val="11"/>
        <rFont val="Noto Sans JP"/>
        <family val="0"/>
        <charset val="1"/>
      </rPr>
      <t xml:space="preserve">4</t>
    </r>
    <r>
      <rPr>
        <sz val="11"/>
        <rFont val="WenQuanYi Zen Hei"/>
        <family val="2"/>
      </rPr>
      <t xml:space="preserve">日、必須シナリオ</t>
    </r>
    <r>
      <rPr>
        <sz val="11"/>
        <rFont val="Noto Sans JP"/>
        <family val="0"/>
        <charset val="1"/>
      </rPr>
      <t xml:space="preserve">100%</t>
    </r>
    <r>
      <rPr>
        <sz val="11"/>
        <rFont val="WenQuanYi Zen Hei"/>
        <family val="2"/>
      </rPr>
      <t xml:space="preserve">合格。</t>
    </r>
  </si>
  <si>
    <r>
      <rPr>
        <sz val="11"/>
        <rFont val="WenQuanYi Zen Hei"/>
        <family val="2"/>
      </rPr>
      <t xml:space="preserve">利用部門受入試験の実施期間は</t>
    </r>
    <r>
      <rPr>
        <sz val="11"/>
        <rFont val="Noto Sans JP"/>
        <family val="0"/>
        <charset val="1"/>
      </rPr>
      <t xml:space="preserve">2026</t>
    </r>
    <r>
      <rPr>
        <sz val="11"/>
        <rFont val="WenQuanYi Zen Hei"/>
        <family val="2"/>
      </rPr>
      <t xml:space="preserve">年</t>
    </r>
    <r>
      <rPr>
        <sz val="11"/>
        <rFont val="Noto Sans JP"/>
        <family val="0"/>
        <charset val="1"/>
      </rPr>
      <t xml:space="preserve">11</t>
    </r>
    <r>
      <rPr>
        <sz val="11"/>
        <rFont val="WenQuanYi Zen Hei"/>
        <family val="2"/>
      </rPr>
      <t xml:space="preserve">月</t>
    </r>
    <r>
      <rPr>
        <sz val="11"/>
        <rFont val="Noto Sans JP"/>
        <family val="0"/>
        <charset val="1"/>
      </rPr>
      <t xml:space="preserve">30</t>
    </r>
    <r>
      <rPr>
        <sz val="11"/>
        <rFont val="WenQuanYi Zen Hei"/>
        <family val="2"/>
      </rPr>
      <t xml:space="preserve">日～</t>
    </r>
    <r>
      <rPr>
        <sz val="11"/>
        <rFont val="Noto Sans JP"/>
        <family val="0"/>
        <charset val="1"/>
      </rPr>
      <t xml:space="preserve">12</t>
    </r>
    <r>
      <rPr>
        <sz val="11"/>
        <rFont val="WenQuanYi Zen Hei"/>
        <family val="2"/>
      </rPr>
      <t xml:space="preserve">月</t>
    </r>
    <r>
      <rPr>
        <sz val="11"/>
        <rFont val="Noto Sans JP"/>
        <family val="0"/>
        <charset val="1"/>
      </rPr>
      <t xml:space="preserve">4</t>
    </r>
    <r>
      <rPr>
        <sz val="11"/>
        <rFont val="WenQuanYi Zen Hei"/>
        <family val="2"/>
      </rPr>
      <t xml:space="preserve">日で、終了条件は「必須シナリオ</t>
    </r>
    <r>
      <rPr>
        <sz val="11"/>
        <rFont val="Noto Sans JP"/>
        <family val="0"/>
        <charset val="1"/>
      </rPr>
      <t xml:space="preserve">100%</t>
    </r>
    <r>
      <rPr>
        <sz val="11"/>
        <rFont val="WenQuanYi Zen Hei"/>
        <family val="2"/>
      </rPr>
      <t xml:space="preserve">合格」です（スライド</t>
    </r>
    <r>
      <rPr>
        <sz val="11"/>
        <rFont val="Noto Sans JP"/>
        <family val="0"/>
        <charset val="1"/>
      </rPr>
      <t xml:space="preserve">7</t>
    </r>
    <r>
      <rPr>
        <sz val="11"/>
        <rFont val="WenQuanYi Zen Hei"/>
        <family val="2"/>
      </rPr>
      <t xml:space="preserve">「回復計画と後続工程」）。</t>
    </r>
  </si>
  <si>
    <t xml:space="preserve">/tmp/out/02-Q13.txt</t>
  </si>
  <si>
    <r>
      <rPr>
        <sz val="11"/>
        <rFont val="Noto Sans JP"/>
        <family val="0"/>
        <charset val="1"/>
      </rPr>
      <t xml:space="preserve">1,860</t>
    </r>
    <r>
      <rPr>
        <sz val="11"/>
        <rFont val="WenQuanYi Zen Hei"/>
        <family val="2"/>
      </rPr>
      <t xml:space="preserve">＋</t>
    </r>
    <r>
      <rPr>
        <sz val="11"/>
        <rFont val="Noto Sans JP"/>
        <family val="0"/>
        <charset val="1"/>
      </rPr>
      <t xml:space="preserve">1,000</t>
    </r>
    <r>
      <rPr>
        <sz val="11"/>
        <rFont val="WenQuanYi Zen Hei"/>
        <family val="2"/>
      </rPr>
      <t xml:space="preserve">＋</t>
    </r>
    <r>
      <rPr>
        <sz val="11"/>
        <rFont val="Noto Sans JP"/>
        <family val="0"/>
        <charset val="1"/>
      </rPr>
      <t xml:space="preserve">160</t>
    </r>
    <r>
      <rPr>
        <sz val="11"/>
        <rFont val="WenQuanYi Zen Hei"/>
        <family val="2"/>
      </rPr>
      <t xml:space="preserve">＝</t>
    </r>
    <r>
      <rPr>
        <sz val="11"/>
        <rFont val="Noto Sans JP"/>
        <family val="0"/>
        <charset val="1"/>
      </rPr>
      <t xml:space="preserve">3,020</t>
    </r>
    <r>
      <rPr>
        <sz val="11"/>
        <rFont val="WenQuanYi Zen Hei"/>
        <family val="2"/>
      </rPr>
      <t xml:space="preserve">万円。</t>
    </r>
  </si>
  <si>
    <r>
      <rPr>
        <sz val="11"/>
        <rFont val="WenQuanYi Zen Hei"/>
        <family val="2"/>
      </rPr>
      <t xml:space="preserve">完成時見込みは</t>
    </r>
    <r>
      <rPr>
        <sz val="11"/>
        <rFont val="Noto Sans JP"/>
        <family val="0"/>
        <charset val="1"/>
      </rPr>
      <t xml:space="preserve">3,020</t>
    </r>
    <r>
      <rPr>
        <sz val="11"/>
        <rFont val="WenQuanYi Zen Hei"/>
        <family val="2"/>
      </rPr>
      <t xml:space="preserve">万円（税抜）です。
内訳（スライド</t>
    </r>
    <r>
      <rPr>
        <sz val="11"/>
        <rFont val="Noto Sans JP"/>
        <family val="0"/>
        <charset val="1"/>
      </rPr>
      <t xml:space="preserve">8</t>
    </r>
    <r>
      <rPr>
        <sz val="11"/>
        <rFont val="WenQuanYi Zen Hei"/>
        <family val="2"/>
      </rPr>
      <t xml:space="preserve">「費用見通しは当初予算内」より）：
</t>
    </r>
    <r>
      <rPr>
        <sz val="11"/>
        <rFont val="Noto Sans JP"/>
        <family val="0"/>
        <charset val="1"/>
      </rPr>
      <t xml:space="preserve">- 10/23</t>
    </r>
    <r>
      <rPr>
        <sz val="11"/>
        <rFont val="WenQuanYi Zen Hei"/>
        <family val="2"/>
      </rPr>
      <t xml:space="preserve">までの実績：</t>
    </r>
    <r>
      <rPr>
        <sz val="11"/>
        <rFont val="Noto Sans JP"/>
        <family val="0"/>
        <charset val="1"/>
      </rPr>
      <t xml:space="preserve">1,860</t>
    </r>
    <r>
      <rPr>
        <sz val="11"/>
        <rFont val="WenQuanYi Zen Hei"/>
        <family val="2"/>
      </rPr>
      <t xml:space="preserve">万円
</t>
    </r>
    <r>
      <rPr>
        <sz val="11"/>
        <rFont val="Noto Sans JP"/>
        <family val="0"/>
        <charset val="1"/>
      </rPr>
      <t xml:space="preserve">- </t>
    </r>
    <r>
      <rPr>
        <sz val="11"/>
        <rFont val="WenQuanYi Zen Hei"/>
        <family val="2"/>
      </rPr>
      <t xml:space="preserve">残作業見込み（追加要員費を除く）：</t>
    </r>
    <r>
      <rPr>
        <sz val="11"/>
        <rFont val="Noto Sans JP"/>
        <family val="0"/>
        <charset val="1"/>
      </rPr>
      <t xml:space="preserve">1,000</t>
    </r>
    <r>
      <rPr>
        <sz val="11"/>
        <rFont val="WenQuanYi Zen Hei"/>
        <family val="2"/>
      </rPr>
      <t xml:space="preserve">万円
</t>
    </r>
    <r>
      <rPr>
        <sz val="11"/>
        <rFont val="Noto Sans JP"/>
        <family val="0"/>
        <charset val="1"/>
      </rPr>
      <t xml:space="preserve">- </t>
    </r>
    <r>
      <rPr>
        <sz val="11"/>
        <rFont val="WenQuanYi Zen Hei"/>
        <family val="2"/>
      </rPr>
      <t xml:space="preserve">追加要員費（</t>
    </r>
    <r>
      <rPr>
        <sz val="11"/>
        <rFont val="Noto Sans JP"/>
        <family val="0"/>
        <charset val="1"/>
      </rPr>
      <t xml:space="preserve">CR-07</t>
    </r>
    <r>
      <rPr>
        <sz val="11"/>
        <rFont val="WenQuanYi Zen Hei"/>
        <family val="2"/>
      </rPr>
      <t xml:space="preserve">対応費を含む）：</t>
    </r>
    <r>
      <rPr>
        <sz val="11"/>
        <rFont val="Noto Sans JP"/>
        <family val="0"/>
        <charset val="1"/>
      </rPr>
      <t xml:space="preserve">160</t>
    </r>
    <r>
      <rPr>
        <sz val="11"/>
        <rFont val="WenQuanYi Zen Hei"/>
        <family val="2"/>
      </rPr>
      <t xml:space="preserve">万円
計算：</t>
    </r>
    <r>
      <rPr>
        <sz val="11"/>
        <rFont val="Noto Sans JP"/>
        <family val="0"/>
        <charset val="1"/>
      </rPr>
      <t xml:space="preserve">1,860</t>
    </r>
    <r>
      <rPr>
        <sz val="11"/>
        <rFont val="WenQuanYi Zen Hei"/>
        <family val="2"/>
      </rPr>
      <t xml:space="preserve">万円 ＋ </t>
    </r>
    <r>
      <rPr>
        <sz val="11"/>
        <rFont val="Noto Sans JP"/>
        <family val="0"/>
        <charset val="1"/>
      </rPr>
      <t xml:space="preserve">1,000</t>
    </r>
    <r>
      <rPr>
        <sz val="11"/>
        <rFont val="WenQuanYi Zen Hei"/>
        <family val="2"/>
      </rPr>
      <t xml:space="preserve">万円 ＋ </t>
    </r>
    <r>
      <rPr>
        <sz val="11"/>
        <rFont val="Noto Sans JP"/>
        <family val="0"/>
        <charset val="1"/>
      </rPr>
      <t xml:space="preserve">160</t>
    </r>
    <r>
      <rPr>
        <sz val="11"/>
        <rFont val="WenQuanYi Zen Hei"/>
        <family val="2"/>
      </rPr>
      <t xml:space="preserve">万円 ＝ </t>
    </r>
    <r>
      <rPr>
        <sz val="11"/>
        <rFont val="Noto Sans JP"/>
        <family val="0"/>
        <charset val="1"/>
      </rPr>
      <t xml:space="preserve">3,020</t>
    </r>
    <r>
      <rPr>
        <sz val="11"/>
        <rFont val="WenQuanYi Zen Hei"/>
        <family val="2"/>
      </rPr>
      <t xml:space="preserve">万円
資料記載の完成時見込み</t>
    </r>
    <r>
      <rPr>
        <sz val="11"/>
        <rFont val="Noto Sans JP"/>
        <family val="0"/>
        <charset val="1"/>
      </rPr>
      <t xml:space="preserve">3,020</t>
    </r>
    <r>
      <rPr>
        <sz val="11"/>
        <rFont val="WenQuanYi Zen Hei"/>
        <family val="2"/>
      </rPr>
      <t xml:space="preserve">万円と一致します。なお、</t>
    </r>
    <r>
      <rPr>
        <sz val="11"/>
        <rFont val="Noto Sans JP"/>
        <family val="0"/>
        <charset val="1"/>
      </rPr>
      <t xml:space="preserve">CR-07</t>
    </r>
    <r>
      <rPr>
        <sz val="11"/>
        <rFont val="WenQuanYi Zen Hei"/>
        <family val="2"/>
      </rPr>
      <t xml:space="preserve">の</t>
    </r>
    <r>
      <rPr>
        <sz val="11"/>
        <rFont val="Noto Sans JP"/>
        <family val="0"/>
        <charset val="1"/>
      </rPr>
      <t xml:space="preserve">160</t>
    </r>
    <r>
      <rPr>
        <sz val="11"/>
        <rFont val="WenQuanYi Zen Hei"/>
        <family val="2"/>
      </rPr>
      <t xml:space="preserve">万円は追加要員費に含まれているため、重ねて加算しません（加算すると</t>
    </r>
    <r>
      <rPr>
        <sz val="11"/>
        <rFont val="Noto Sans JP"/>
        <family val="0"/>
        <charset val="1"/>
      </rPr>
      <t xml:space="preserve">3,180</t>
    </r>
    <r>
      <rPr>
        <sz val="11"/>
        <rFont val="WenQuanYi Zen Hei"/>
        <family val="2"/>
      </rPr>
      <t xml:space="preserve">万円となり誤り）。当初予算上限</t>
    </r>
    <r>
      <rPr>
        <sz val="11"/>
        <rFont val="Noto Sans JP"/>
        <family val="0"/>
        <charset val="1"/>
      </rPr>
      <t xml:space="preserve">3,200</t>
    </r>
    <r>
      <rPr>
        <sz val="11"/>
        <rFont val="WenQuanYi Zen Hei"/>
        <family val="2"/>
      </rPr>
      <t xml:space="preserve">万円に対し、</t>
    </r>
    <r>
      <rPr>
        <sz val="11"/>
        <rFont val="Noto Sans JP"/>
        <family val="0"/>
        <charset val="1"/>
      </rPr>
      <t xml:space="preserve">180</t>
    </r>
    <r>
      <rPr>
        <sz val="11"/>
        <rFont val="WenQuanYi Zen Hei"/>
        <family val="2"/>
      </rPr>
      <t xml:space="preserve">万円の余裕があります。</t>
    </r>
  </si>
  <si>
    <t xml:space="preserve">/tmp/out/02-Q14.txt</t>
  </si>
  <si>
    <r>
      <rPr>
        <sz val="11"/>
        <rFont val="Noto Sans JP"/>
        <family val="0"/>
        <charset val="1"/>
      </rPr>
      <t xml:space="preserve">3,200</t>
    </r>
    <r>
      <rPr>
        <sz val="11"/>
        <rFont val="WenQuanYi Zen Hei"/>
        <family val="2"/>
      </rPr>
      <t xml:space="preserve">－</t>
    </r>
    <r>
      <rPr>
        <sz val="11"/>
        <rFont val="Noto Sans JP"/>
        <family val="0"/>
        <charset val="1"/>
      </rPr>
      <t xml:space="preserve">3,020</t>
    </r>
    <r>
      <rPr>
        <sz val="11"/>
        <rFont val="WenQuanYi Zen Hei"/>
        <family val="2"/>
      </rPr>
      <t xml:space="preserve">＝</t>
    </r>
    <r>
      <rPr>
        <sz val="11"/>
        <rFont val="Noto Sans JP"/>
        <family val="0"/>
        <charset val="1"/>
      </rPr>
      <t xml:space="preserve">180</t>
    </r>
    <r>
      <rPr>
        <sz val="11"/>
        <rFont val="WenQuanYi Zen Hei"/>
        <family val="2"/>
      </rPr>
      <t xml:space="preserve">万円。</t>
    </r>
  </si>
  <si>
    <r>
      <rPr>
        <sz val="11"/>
        <rFont val="Noto Sans JP"/>
        <family val="0"/>
        <charset val="1"/>
      </rPr>
      <t xml:space="preserve">180</t>
    </r>
    <r>
      <rPr>
        <sz val="11"/>
        <rFont val="WenQuanYi Zen Hei"/>
        <family val="2"/>
      </rPr>
      <t xml:space="preserve">万円（税抜）です。当初予算上限</t>
    </r>
    <r>
      <rPr>
        <sz val="11"/>
        <rFont val="Noto Sans JP"/>
        <family val="0"/>
        <charset val="1"/>
      </rPr>
      <t xml:space="preserve">3,200</t>
    </r>
    <r>
      <rPr>
        <sz val="11"/>
        <rFont val="WenQuanYi Zen Hei"/>
        <family val="2"/>
      </rPr>
      <t xml:space="preserve">万円に対し、完成時見込みが</t>
    </r>
    <r>
      <rPr>
        <sz val="11"/>
        <rFont val="Noto Sans JP"/>
        <family val="0"/>
        <charset val="1"/>
      </rPr>
      <t xml:space="preserve">3,020</t>
    </r>
    <r>
      <rPr>
        <sz val="11"/>
        <rFont val="WenQuanYi Zen Hei"/>
        <family val="2"/>
      </rPr>
      <t xml:space="preserve">万円（</t>
    </r>
    <r>
      <rPr>
        <sz val="11"/>
        <rFont val="Noto Sans JP"/>
        <family val="0"/>
        <charset val="1"/>
      </rPr>
      <t xml:space="preserve">10/23</t>
    </r>
    <r>
      <rPr>
        <sz val="11"/>
        <rFont val="WenQuanYi Zen Hei"/>
        <family val="2"/>
      </rPr>
      <t xml:space="preserve">までの実績</t>
    </r>
    <r>
      <rPr>
        <sz val="11"/>
        <rFont val="Noto Sans JP"/>
        <family val="0"/>
        <charset val="1"/>
      </rPr>
      <t xml:space="preserve">1,860</t>
    </r>
    <r>
      <rPr>
        <sz val="11"/>
        <rFont val="WenQuanYi Zen Hei"/>
        <family val="2"/>
      </rPr>
      <t xml:space="preserve">万円＋残作業見込み</t>
    </r>
    <r>
      <rPr>
        <sz val="11"/>
        <rFont val="Noto Sans JP"/>
        <family val="0"/>
        <charset val="1"/>
      </rPr>
      <t xml:space="preserve">1,000</t>
    </r>
    <r>
      <rPr>
        <sz val="11"/>
        <rFont val="WenQuanYi Zen Hei"/>
        <family val="2"/>
      </rPr>
      <t xml:space="preserve">万円＋追加要員費</t>
    </r>
    <r>
      <rPr>
        <sz val="11"/>
        <rFont val="Noto Sans JP"/>
        <family val="0"/>
        <charset val="1"/>
      </rPr>
      <t xml:space="preserve">160</t>
    </r>
    <r>
      <rPr>
        <sz val="11"/>
        <rFont val="WenQuanYi Zen Hei"/>
        <family val="2"/>
      </rPr>
      <t xml:space="preserve">万円）のため、</t>
    </r>
    <r>
      <rPr>
        <sz val="11"/>
        <rFont val="Noto Sans JP"/>
        <family val="0"/>
        <charset val="1"/>
      </rPr>
      <t xml:space="preserve">3,200</t>
    </r>
    <r>
      <rPr>
        <sz val="11"/>
        <rFont val="WenQuanYi Zen Hei"/>
        <family val="2"/>
      </rPr>
      <t xml:space="preserve">万円−</t>
    </r>
    <r>
      <rPr>
        <sz val="11"/>
        <rFont val="Noto Sans JP"/>
        <family val="0"/>
        <charset val="1"/>
      </rPr>
      <t xml:space="preserve">3,020</t>
    </r>
    <r>
      <rPr>
        <sz val="11"/>
        <rFont val="WenQuanYi Zen Hei"/>
        <family val="2"/>
      </rPr>
      <t xml:space="preserve">万円＝</t>
    </r>
    <r>
      <rPr>
        <sz val="11"/>
        <rFont val="Noto Sans JP"/>
        <family val="0"/>
        <charset val="1"/>
      </rPr>
      <t xml:space="preserve">180</t>
    </r>
    <r>
      <rPr>
        <sz val="11"/>
        <rFont val="WenQuanYi Zen Hei"/>
        <family val="2"/>
      </rPr>
      <t xml:space="preserve">万円の余裕があります。なお、</t>
    </r>
    <r>
      <rPr>
        <sz val="11"/>
        <rFont val="Noto Sans JP"/>
        <family val="0"/>
        <charset val="1"/>
      </rPr>
      <t xml:space="preserve">CR-07</t>
    </r>
    <r>
      <rPr>
        <sz val="11"/>
        <rFont val="WenQuanYi Zen Hei"/>
        <family val="2"/>
      </rPr>
      <t xml:space="preserve">の</t>
    </r>
    <r>
      <rPr>
        <sz val="11"/>
        <rFont val="Noto Sans JP"/>
        <family val="0"/>
        <charset val="1"/>
      </rPr>
      <t xml:space="preserve">160</t>
    </r>
    <r>
      <rPr>
        <sz val="11"/>
        <rFont val="WenQuanYi Zen Hei"/>
        <family val="2"/>
      </rPr>
      <t xml:space="preserve">万円は追加要員費に含まれており、重ねて加算しません（スライド</t>
    </r>
    <r>
      <rPr>
        <sz val="11"/>
        <rFont val="Noto Sans JP"/>
        <family val="0"/>
        <charset val="1"/>
      </rPr>
      <t xml:space="preserve">8</t>
    </r>
    <r>
      <rPr>
        <sz val="11"/>
        <rFont val="WenQuanYi Zen Hei"/>
        <family val="2"/>
      </rPr>
      <t xml:space="preserve">）。</t>
    </r>
  </si>
  <si>
    <t xml:space="preserve">/tmp/out/02-Q15.txt</t>
  </si>
  <si>
    <r>
      <rPr>
        <sz val="11"/>
        <rFont val="WenQuanYi Zen Hei"/>
        <family val="2"/>
      </rPr>
      <t xml:space="preserve">加算しない。追加要員費</t>
    </r>
    <r>
      <rPr>
        <sz val="11"/>
        <rFont val="Noto Sans JP"/>
        <family val="0"/>
        <charset val="1"/>
      </rPr>
      <t xml:space="preserve">160</t>
    </r>
    <r>
      <rPr>
        <sz val="11"/>
        <rFont val="WenQuanYi Zen Hei"/>
        <family val="2"/>
      </rPr>
      <t xml:space="preserve">万円に含まれており二重計上になる。</t>
    </r>
  </si>
  <si>
    <t xml:space="preserve">6,8</t>
  </si>
  <si>
    <r>
      <rPr>
        <sz val="11"/>
        <rFont val="WenQuanYi Zen Hei"/>
        <family val="2"/>
      </rPr>
      <t xml:space="preserve">いいえ、加算すべきではありません。
スライド</t>
    </r>
    <r>
      <rPr>
        <sz val="11"/>
        <rFont val="Noto Sans JP"/>
        <family val="0"/>
        <charset val="1"/>
      </rPr>
      <t xml:space="preserve">8</t>
    </r>
    <r>
      <rPr>
        <sz val="11"/>
        <rFont val="WenQuanYi Zen Hei"/>
        <family val="2"/>
      </rPr>
      <t xml:space="preserve">の完成時見込み</t>
    </r>
    <r>
      <rPr>
        <sz val="11"/>
        <rFont val="Noto Sans JP"/>
        <family val="0"/>
        <charset val="1"/>
      </rPr>
      <t xml:space="preserve">3,020</t>
    </r>
    <r>
      <rPr>
        <sz val="11"/>
        <rFont val="WenQuanYi Zen Hei"/>
        <family val="2"/>
      </rPr>
      <t xml:space="preserve">万円は「実績</t>
    </r>
    <r>
      <rPr>
        <sz val="11"/>
        <rFont val="Noto Sans JP"/>
        <family val="0"/>
        <charset val="1"/>
      </rPr>
      <t xml:space="preserve">1,860</t>
    </r>
    <r>
      <rPr>
        <sz val="11"/>
        <rFont val="WenQuanYi Zen Hei"/>
        <family val="2"/>
      </rPr>
      <t xml:space="preserve">万円＋残作業見込み</t>
    </r>
    <r>
      <rPr>
        <sz val="11"/>
        <rFont val="Noto Sans JP"/>
        <family val="0"/>
        <charset val="1"/>
      </rPr>
      <t xml:space="preserve">1,000</t>
    </r>
    <r>
      <rPr>
        <sz val="11"/>
        <rFont val="WenQuanYi Zen Hei"/>
        <family val="2"/>
      </rPr>
      <t xml:space="preserve">万円＋追加要員費</t>
    </r>
    <r>
      <rPr>
        <sz val="11"/>
        <rFont val="Noto Sans JP"/>
        <family val="0"/>
        <charset val="1"/>
      </rPr>
      <t xml:space="preserve">160</t>
    </r>
    <r>
      <rPr>
        <sz val="11"/>
        <rFont val="WenQuanYi Zen Hei"/>
        <family val="2"/>
      </rPr>
      <t xml:space="preserve">万円」で算出されており、追加要員費</t>
    </r>
    <r>
      <rPr>
        <sz val="11"/>
        <rFont val="Noto Sans JP"/>
        <family val="0"/>
        <charset val="1"/>
      </rPr>
      <t xml:space="preserve">160</t>
    </r>
    <r>
      <rPr>
        <sz val="11"/>
        <rFont val="WenQuanYi Zen Hei"/>
        <family val="2"/>
      </rPr>
      <t xml:space="preserve">万円には既に</t>
    </r>
    <r>
      <rPr>
        <sz val="11"/>
        <rFont val="Noto Sans JP"/>
        <family val="0"/>
        <charset val="1"/>
      </rPr>
      <t xml:space="preserve">CR-07</t>
    </r>
    <r>
      <rPr>
        <sz val="11"/>
        <rFont val="WenQuanYi Zen Hei"/>
        <family val="2"/>
      </rPr>
      <t xml:space="preserve">対応費が含まれています。スライド</t>
    </r>
    <r>
      <rPr>
        <sz val="11"/>
        <rFont val="Noto Sans JP"/>
        <family val="0"/>
        <charset val="1"/>
      </rPr>
      <t xml:space="preserve">8</t>
    </r>
    <r>
      <rPr>
        <sz val="11"/>
        <rFont val="WenQuanYi Zen Hei"/>
        <family val="2"/>
      </rPr>
      <t xml:space="preserve">の注記にも「</t>
    </r>
    <r>
      <rPr>
        <sz val="11"/>
        <rFont val="Noto Sans JP"/>
        <family val="0"/>
        <charset val="1"/>
      </rPr>
      <t xml:space="preserve">CR-07</t>
    </r>
    <r>
      <rPr>
        <sz val="11"/>
        <rFont val="WenQuanYi Zen Hei"/>
        <family val="2"/>
      </rPr>
      <t xml:space="preserve">の</t>
    </r>
    <r>
      <rPr>
        <sz val="11"/>
        <rFont val="Noto Sans JP"/>
        <family val="0"/>
        <charset val="1"/>
      </rPr>
      <t xml:space="preserve">160</t>
    </r>
    <r>
      <rPr>
        <sz val="11"/>
        <rFont val="WenQuanYi Zen Hei"/>
        <family val="2"/>
      </rPr>
      <t xml:space="preserve">万円を追加要員費に重ねて加算しない」と明記されています。
根拠として、スライド</t>
    </r>
    <r>
      <rPr>
        <sz val="11"/>
        <rFont val="Noto Sans JP"/>
        <family val="0"/>
        <charset val="1"/>
      </rPr>
      <t xml:space="preserve">6</t>
    </r>
    <r>
      <rPr>
        <sz val="11"/>
        <rFont val="WenQuanYi Zen Hei"/>
        <family val="2"/>
      </rPr>
      <t xml:space="preserve">の注記では</t>
    </r>
    <r>
      <rPr>
        <sz val="11"/>
        <rFont val="Noto Sans JP"/>
        <family val="0"/>
        <charset val="1"/>
      </rPr>
      <t xml:space="preserve">160</t>
    </r>
    <r>
      <rPr>
        <sz val="11"/>
        <rFont val="WenQuanYi Zen Hei"/>
        <family val="2"/>
      </rPr>
      <t xml:space="preserve">万円は「追加</t>
    </r>
    <r>
      <rPr>
        <sz val="11"/>
        <rFont val="Noto Sans JP"/>
        <family val="0"/>
        <charset val="1"/>
      </rPr>
      <t xml:space="preserve">2</t>
    </r>
    <r>
      <rPr>
        <sz val="11"/>
        <rFont val="WenQuanYi Zen Hei"/>
        <family val="2"/>
      </rPr>
      <t xml:space="preserve">名</t>
    </r>
    <r>
      <rPr>
        <sz val="11"/>
        <rFont val="Noto Sans JP"/>
        <family val="0"/>
        <charset val="1"/>
      </rPr>
      <t xml:space="preserve">×20</t>
    </r>
    <r>
      <rPr>
        <sz val="11"/>
        <rFont val="WenQuanYi Zen Hei"/>
        <family val="2"/>
      </rPr>
      <t xml:space="preserve">営業日</t>
    </r>
    <r>
      <rPr>
        <sz val="11"/>
        <rFont val="Noto Sans JP"/>
        <family val="0"/>
        <charset val="1"/>
      </rPr>
      <t xml:space="preserve">×4</t>
    </r>
    <r>
      <rPr>
        <sz val="11"/>
        <rFont val="WenQuanYi Zen Hei"/>
        <family val="2"/>
      </rPr>
      <t xml:space="preserve">万円／人日」の追加要員費そのものであり、その</t>
    </r>
    <r>
      <rPr>
        <sz val="11"/>
        <rFont val="Noto Sans JP"/>
        <family val="0"/>
        <charset val="1"/>
      </rPr>
      <t xml:space="preserve">40</t>
    </r>
    <r>
      <rPr>
        <sz val="11"/>
        <rFont val="WenQuanYi Zen Hei"/>
        <family val="2"/>
      </rPr>
      <t xml:space="preserve">人日のうち</t>
    </r>
    <r>
      <rPr>
        <sz val="11"/>
        <rFont val="Noto Sans JP"/>
        <family val="0"/>
        <charset val="1"/>
      </rPr>
      <t xml:space="preserve">20</t>
    </r>
    <r>
      <rPr>
        <sz val="11"/>
        <rFont val="WenQuanYi Zen Hei"/>
        <family val="2"/>
      </rPr>
      <t xml:space="preserve">人日を</t>
    </r>
    <r>
      <rPr>
        <sz val="11"/>
        <rFont val="Noto Sans JP"/>
        <family val="0"/>
        <charset val="1"/>
      </rPr>
      <t xml:space="preserve">CR-07</t>
    </r>
    <r>
      <rPr>
        <sz val="11"/>
        <rFont val="WenQuanYi Zen Hei"/>
        <family val="2"/>
      </rPr>
      <t xml:space="preserve">、</t>
    </r>
    <r>
      <rPr>
        <sz val="11"/>
        <rFont val="Noto Sans JP"/>
        <family val="0"/>
        <charset val="1"/>
      </rPr>
      <t xml:space="preserve">20</t>
    </r>
    <r>
      <rPr>
        <sz val="11"/>
        <rFont val="WenQuanYi Zen Hei"/>
        <family val="2"/>
      </rPr>
      <t xml:space="preserve">人日を遅延回復に充てるとされています。つまり</t>
    </r>
    <r>
      <rPr>
        <sz val="11"/>
        <rFont val="Noto Sans JP"/>
        <family val="0"/>
        <charset val="1"/>
      </rPr>
      <t xml:space="preserve">CR-07</t>
    </r>
    <r>
      <rPr>
        <sz val="11"/>
        <rFont val="WenQuanYi Zen Hei"/>
        <family val="2"/>
      </rPr>
      <t xml:space="preserve">の</t>
    </r>
    <r>
      <rPr>
        <sz val="11"/>
        <rFont val="Noto Sans JP"/>
        <family val="0"/>
        <charset val="1"/>
      </rPr>
      <t xml:space="preserve">160</t>
    </r>
    <r>
      <rPr>
        <sz val="11"/>
        <rFont val="WenQuanYi Zen Hei"/>
        <family val="2"/>
      </rPr>
      <t xml:space="preserve">万円と追加要員費</t>
    </r>
    <r>
      <rPr>
        <sz val="11"/>
        <rFont val="Noto Sans JP"/>
        <family val="0"/>
        <charset val="1"/>
      </rPr>
      <t xml:space="preserve">160</t>
    </r>
    <r>
      <rPr>
        <sz val="11"/>
        <rFont val="WenQuanYi Zen Hei"/>
        <family val="2"/>
      </rPr>
      <t xml:space="preserve">万円は同じ費用です。
仮にさらに</t>
    </r>
    <r>
      <rPr>
        <sz val="11"/>
        <rFont val="Noto Sans JP"/>
        <family val="0"/>
        <charset val="1"/>
      </rPr>
      <t xml:space="preserve">160</t>
    </r>
    <r>
      <rPr>
        <sz val="11"/>
        <rFont val="WenQuanYi Zen Hei"/>
        <family val="2"/>
      </rPr>
      <t xml:space="preserve">万円を加算すると完成時見込みは</t>
    </r>
    <r>
      <rPr>
        <sz val="11"/>
        <rFont val="Noto Sans JP"/>
        <family val="0"/>
        <charset val="1"/>
      </rPr>
      <t xml:space="preserve">3,180</t>
    </r>
    <r>
      <rPr>
        <sz val="11"/>
        <rFont val="WenQuanYi Zen Hei"/>
        <family val="2"/>
      </rPr>
      <t xml:space="preserve">万円となり、同じ費用を二重計上することになります。正しい完成時見込みは</t>
    </r>
    <r>
      <rPr>
        <sz val="11"/>
        <rFont val="Noto Sans JP"/>
        <family val="0"/>
        <charset val="1"/>
      </rPr>
      <t xml:space="preserve">3,020</t>
    </r>
    <r>
      <rPr>
        <sz val="11"/>
        <rFont val="WenQuanYi Zen Hei"/>
        <family val="2"/>
      </rPr>
      <t xml:space="preserve">万円で、当初予算上限</t>
    </r>
    <r>
      <rPr>
        <sz val="11"/>
        <rFont val="Noto Sans JP"/>
        <family val="0"/>
        <charset val="1"/>
      </rPr>
      <t xml:space="preserve">3,200</t>
    </r>
    <r>
      <rPr>
        <sz val="11"/>
        <rFont val="WenQuanYi Zen Hei"/>
        <family val="2"/>
      </rPr>
      <t xml:space="preserve">万円に対する余裕は</t>
    </r>
    <r>
      <rPr>
        <sz val="11"/>
        <rFont val="Noto Sans JP"/>
        <family val="0"/>
        <charset val="1"/>
      </rPr>
      <t xml:space="preserve">180</t>
    </r>
    <r>
      <rPr>
        <sz val="11"/>
        <rFont val="WenQuanYi Zen Hei"/>
        <family val="2"/>
      </rPr>
      <t xml:space="preserve">万円です。
補足：スライド</t>
    </r>
    <r>
      <rPr>
        <sz val="11"/>
        <rFont val="Noto Sans JP"/>
        <family val="0"/>
        <charset val="1"/>
      </rPr>
      <t xml:space="preserve">6</t>
    </r>
    <r>
      <rPr>
        <sz val="11"/>
        <rFont val="WenQuanYi Zen Hei"/>
        <family val="2"/>
      </rPr>
      <t xml:space="preserve">の表では</t>
    </r>
    <r>
      <rPr>
        <sz val="11"/>
        <rFont val="Noto Sans JP"/>
        <family val="0"/>
        <charset val="1"/>
      </rPr>
      <t xml:space="preserve">CR-07</t>
    </r>
    <r>
      <rPr>
        <sz val="11"/>
        <rFont val="WenQuanYi Zen Hei"/>
        <family val="2"/>
      </rPr>
      <t xml:space="preserve">の追加工数</t>
    </r>
    <r>
      <rPr>
        <sz val="11"/>
        <rFont val="Noto Sans JP"/>
        <family val="0"/>
        <charset val="1"/>
      </rPr>
      <t xml:space="preserve">20</t>
    </r>
    <r>
      <rPr>
        <sz val="11"/>
        <rFont val="WenQuanYi Zen Hei"/>
        <family val="2"/>
      </rPr>
      <t xml:space="preserve">人日・追加費用</t>
    </r>
    <r>
      <rPr>
        <sz val="11"/>
        <rFont val="Noto Sans JP"/>
        <family val="0"/>
        <charset val="1"/>
      </rPr>
      <t xml:space="preserve">160</t>
    </r>
    <r>
      <rPr>
        <sz val="11"/>
        <rFont val="WenQuanYi Zen Hei"/>
        <family val="2"/>
      </rPr>
      <t xml:space="preserve">万円とされていますが、単価</t>
    </r>
    <r>
      <rPr>
        <sz val="11"/>
        <rFont val="Noto Sans JP"/>
        <family val="0"/>
        <charset val="1"/>
      </rPr>
      <t xml:space="preserve">4</t>
    </r>
    <r>
      <rPr>
        <sz val="11"/>
        <rFont val="WenQuanYi Zen Hei"/>
        <family val="2"/>
      </rPr>
      <t xml:space="preserve">万円／人日で計算すると</t>
    </r>
    <r>
      <rPr>
        <sz val="11"/>
        <rFont val="Noto Sans JP"/>
        <family val="0"/>
        <charset val="1"/>
      </rPr>
      <t xml:space="preserve">20</t>
    </r>
    <r>
      <rPr>
        <sz val="11"/>
        <rFont val="WenQuanYi Zen Hei"/>
        <family val="2"/>
      </rPr>
      <t xml:space="preserve">人日は</t>
    </r>
    <r>
      <rPr>
        <sz val="11"/>
        <rFont val="Noto Sans JP"/>
        <family val="0"/>
        <charset val="1"/>
      </rPr>
      <t xml:space="preserve">80</t>
    </r>
    <r>
      <rPr>
        <sz val="11"/>
        <rFont val="WenQuanYi Zen Hei"/>
        <family val="2"/>
      </rPr>
      <t xml:space="preserve">万円です。</t>
    </r>
    <r>
      <rPr>
        <sz val="11"/>
        <rFont val="Noto Sans JP"/>
        <family val="0"/>
        <charset val="1"/>
      </rPr>
      <t xml:space="preserve">160</t>
    </r>
    <r>
      <rPr>
        <sz val="11"/>
        <rFont val="WenQuanYi Zen Hei"/>
        <family val="2"/>
      </rPr>
      <t xml:space="preserve">万円は</t>
    </r>
    <r>
      <rPr>
        <sz val="11"/>
        <rFont val="Noto Sans JP"/>
        <family val="0"/>
        <charset val="1"/>
      </rPr>
      <t xml:space="preserve">40</t>
    </r>
    <r>
      <rPr>
        <sz val="11"/>
        <rFont val="WenQuanYi Zen Hei"/>
        <family val="2"/>
      </rPr>
      <t xml:space="preserve">人日分（</t>
    </r>
    <r>
      <rPr>
        <sz val="11"/>
        <rFont val="Noto Sans JP"/>
        <family val="0"/>
        <charset val="1"/>
      </rPr>
      <t xml:space="preserve">CR-07</t>
    </r>
    <r>
      <rPr>
        <sz val="11"/>
        <rFont val="WenQuanYi Zen Hei"/>
        <family val="2"/>
      </rPr>
      <t xml:space="preserve">の</t>
    </r>
    <r>
      <rPr>
        <sz val="11"/>
        <rFont val="Noto Sans JP"/>
        <family val="0"/>
        <charset val="1"/>
      </rPr>
      <t xml:space="preserve">20</t>
    </r>
    <r>
      <rPr>
        <sz val="11"/>
        <rFont val="WenQuanYi Zen Hei"/>
        <family val="2"/>
      </rPr>
      <t xml:space="preserve">人日と遅延回復の</t>
    </r>
    <r>
      <rPr>
        <sz val="11"/>
        <rFont val="Noto Sans JP"/>
        <family val="0"/>
        <charset val="1"/>
      </rPr>
      <t xml:space="preserve">20</t>
    </r>
    <r>
      <rPr>
        <sz val="11"/>
        <rFont val="WenQuanYi Zen Hei"/>
        <family val="2"/>
      </rPr>
      <t xml:space="preserve">人日の合計）の金額であり、表の「追加費用</t>
    </r>
    <r>
      <rPr>
        <sz val="11"/>
        <rFont val="Noto Sans JP"/>
        <family val="0"/>
        <charset val="1"/>
      </rPr>
      <t xml:space="preserve">160</t>
    </r>
    <r>
      <rPr>
        <sz val="11"/>
        <rFont val="WenQuanYi Zen Hei"/>
        <family val="2"/>
      </rPr>
      <t xml:space="preserve">万円」は追加要員費全体を指していると読むのが整合的です。いずれにしても、完成時見込みへの追加加算は不要です。</t>
    </r>
  </si>
  <si>
    <t xml:space="preserve">/tmp/out/02-Q16.txt</t>
  </si>
  <si>
    <r>
      <rPr>
        <sz val="11"/>
        <rFont val="WenQuanYi Zen Hei"/>
        <family val="2"/>
      </rPr>
      <t xml:space="preserve">できない。高も</t>
    </r>
    <r>
      <rPr>
        <sz val="11"/>
        <rFont val="Noto Sans JP"/>
        <family val="0"/>
        <charset val="1"/>
      </rPr>
      <t xml:space="preserve">0</t>
    </r>
    <r>
      <rPr>
        <sz val="11"/>
        <rFont val="WenQuanYi Zen Hei"/>
        <family val="2"/>
      </rPr>
      <t xml:space="preserve">件が必須であり、未達なら延期する。</t>
    </r>
  </si>
  <si>
    <r>
      <rPr>
        <sz val="11"/>
        <rFont val="WenQuanYi Zen Hei"/>
        <family val="2"/>
      </rPr>
      <t xml:space="preserve">いいえ、公開できません。公開判定の品質条件は「重大・高の不具合</t>
    </r>
    <r>
      <rPr>
        <sz val="11"/>
        <rFont val="Noto Sans JP"/>
        <family val="0"/>
        <charset val="1"/>
      </rPr>
      <t xml:space="preserve">0</t>
    </r>
    <r>
      <rPr>
        <sz val="11"/>
        <rFont val="WenQuanYi Zen Hei"/>
        <family val="2"/>
      </rPr>
      <t xml:space="preserve">件」です（スライド</t>
    </r>
    <r>
      <rPr>
        <sz val="11"/>
        <rFont val="Noto Sans JP"/>
        <family val="0"/>
        <charset val="1"/>
      </rPr>
      <t xml:space="preserve">9</t>
    </r>
    <r>
      <rPr>
        <sz val="11"/>
        <rFont val="WenQuanYi Zen Hei"/>
        <family val="2"/>
      </rPr>
      <t xml:space="preserve">）。スライド</t>
    </r>
    <r>
      <rPr>
        <sz val="11"/>
        <rFont val="Noto Sans JP"/>
        <family val="0"/>
        <charset val="1"/>
      </rPr>
      <t xml:space="preserve">5</t>
    </r>
    <r>
      <rPr>
        <sz val="11"/>
        <rFont val="WenQuanYi Zen Hei"/>
        <family val="2"/>
      </rPr>
      <t xml:space="preserve">の注記にも「公開判定時は重大・高ともに</t>
    </r>
    <r>
      <rPr>
        <sz val="11"/>
        <rFont val="Noto Sans JP"/>
        <family val="0"/>
        <charset val="1"/>
      </rPr>
      <t xml:space="preserve">0</t>
    </r>
    <r>
      <rPr>
        <sz val="11"/>
        <rFont val="WenQuanYi Zen Hei"/>
        <family val="2"/>
      </rPr>
      <t xml:space="preserve">件が必要」とあります。高が</t>
    </r>
    <r>
      <rPr>
        <sz val="11"/>
        <rFont val="Noto Sans JP"/>
        <family val="0"/>
        <charset val="1"/>
      </rPr>
      <t xml:space="preserve">1</t>
    </r>
    <r>
      <rPr>
        <sz val="11"/>
        <rFont val="WenQuanYi Zen Hei"/>
        <family val="2"/>
      </rPr>
      <t xml:space="preserve">件残っている時点で品質条件を満たしていません。スライド</t>
    </r>
    <r>
      <rPr>
        <sz val="11"/>
        <rFont val="Noto Sans JP"/>
        <family val="0"/>
        <charset val="1"/>
      </rPr>
      <t xml:space="preserve">9</t>
    </r>
    <r>
      <rPr>
        <sz val="11"/>
        <rFont val="WenQuanYi Zen Hei"/>
        <family val="2"/>
      </rPr>
      <t xml:space="preserve">の注記では「一つでも未達なら公開を延期する」と定めています。そのため、業務受入と移行・復旧の条件を達成していても公開は延期となり、延期後の日程は別途決定されます。</t>
    </r>
  </si>
  <si>
    <t xml:space="preserve">/tmp/out/02-Q17.txt</t>
  </si>
  <si>
    <r>
      <rPr>
        <sz val="11"/>
        <rFont val="Noto Sans JP"/>
        <family val="0"/>
        <charset val="1"/>
      </rPr>
      <t xml:space="preserve">2026</t>
    </r>
    <r>
      <rPr>
        <sz val="11"/>
        <rFont val="WenQuanYi Zen Hei"/>
        <family val="2"/>
      </rPr>
      <t xml:space="preserve">年</t>
    </r>
    <r>
      <rPr>
        <sz val="11"/>
        <rFont val="Noto Sans JP"/>
        <family val="0"/>
        <charset val="1"/>
      </rPr>
      <t xml:space="preserve">12</t>
    </r>
    <r>
      <rPr>
        <sz val="11"/>
        <rFont val="WenQuanYi Zen Hei"/>
        <family val="2"/>
      </rPr>
      <t xml:space="preserve">月</t>
    </r>
    <r>
      <rPr>
        <sz val="11"/>
        <rFont val="Noto Sans JP"/>
        <family val="0"/>
        <charset val="1"/>
      </rPr>
      <t xml:space="preserve">11</t>
    </r>
    <r>
      <rPr>
        <sz val="11"/>
        <rFont val="WenQuanYi Zen Hei"/>
        <family val="2"/>
      </rPr>
      <t xml:space="preserve">日、業務責任者。</t>
    </r>
  </si>
  <si>
    <t xml:space="preserve">7,9</t>
  </si>
  <si>
    <r>
      <rPr>
        <sz val="11"/>
        <rFont val="WenQuanYi Zen Hei"/>
        <family val="2"/>
      </rPr>
      <t xml:space="preserve">公開判定日は</t>
    </r>
    <r>
      <rPr>
        <sz val="11"/>
        <rFont val="Noto Sans JP"/>
        <family val="0"/>
        <charset val="1"/>
      </rPr>
      <t xml:space="preserve">12</t>
    </r>
    <r>
      <rPr>
        <sz val="11"/>
        <rFont val="WenQuanYi Zen Hei"/>
        <family val="2"/>
      </rPr>
      <t xml:space="preserve">月</t>
    </r>
    <r>
      <rPr>
        <sz val="11"/>
        <rFont val="Noto Sans JP"/>
        <family val="0"/>
        <charset val="1"/>
      </rPr>
      <t xml:space="preserve">11</t>
    </r>
    <r>
      <rPr>
        <sz val="11"/>
        <rFont val="WenQuanYi Zen Hei"/>
        <family val="2"/>
      </rPr>
      <t xml:space="preserve">日、最終判断者は業務責任者です（スライド</t>
    </r>
    <r>
      <rPr>
        <sz val="11"/>
        <rFont val="Noto Sans JP"/>
        <family val="0"/>
        <charset val="1"/>
      </rPr>
      <t xml:space="preserve">9</t>
    </r>
    <r>
      <rPr>
        <sz val="11"/>
        <rFont val="WenQuanYi Zen Hei"/>
        <family val="2"/>
      </rPr>
      <t xml:space="preserve">「公開判定の条件」より）。</t>
    </r>
  </si>
  <si>
    <r>
      <rPr>
        <sz val="11"/>
        <rFont val="WenQuanYi Zen Hei"/>
        <family val="2"/>
      </rPr>
      <t xml:space="preserve">公開判定日を「</t>
    </r>
    <r>
      <rPr>
        <sz val="11"/>
        <rFont val="Noto Sans JP"/>
        <family val="0"/>
        <charset val="1"/>
      </rPr>
      <t xml:space="preserve">12</t>
    </r>
    <r>
      <rPr>
        <sz val="11"/>
        <rFont val="WenQuanYi Zen Hei"/>
        <family val="2"/>
      </rPr>
      <t xml:space="preserve">月</t>
    </r>
    <r>
      <rPr>
        <sz val="11"/>
        <rFont val="Noto Sans JP"/>
        <family val="0"/>
        <charset val="1"/>
      </rPr>
      <t xml:space="preserve">11</t>
    </r>
    <r>
      <rPr>
        <sz val="11"/>
        <rFont val="WenQuanYi Zen Hei"/>
        <family val="2"/>
      </rPr>
      <t xml:space="preserve">日」と年なしで回答。資料表記（スライド</t>
    </r>
    <r>
      <rPr>
        <sz val="11"/>
        <rFont val="Noto Sans JP"/>
        <family val="0"/>
        <charset val="1"/>
      </rPr>
      <t xml:space="preserve">9</t>
    </r>
    <r>
      <rPr>
        <sz val="11"/>
        <rFont val="WenQuanYi Zen Hei"/>
        <family val="2"/>
      </rPr>
      <t xml:space="preserve">）と同じで、同一日付のため一致扱い。</t>
    </r>
  </si>
  <si>
    <t xml:space="preserve">/tmp/out/02-Q18.txt</t>
  </si>
  <si>
    <r>
      <rPr>
        <sz val="11"/>
        <rFont val="WenQuanYi Zen Hei"/>
        <family val="2"/>
      </rPr>
      <t xml:space="preserve">連携担当 鈴木、</t>
    </r>
    <r>
      <rPr>
        <sz val="11"/>
        <rFont val="Noto Sans JP"/>
        <family val="0"/>
        <charset val="1"/>
      </rPr>
      <t xml:space="preserve">2026</t>
    </r>
    <r>
      <rPr>
        <sz val="11"/>
        <rFont val="WenQuanYi Zen Hei"/>
        <family val="2"/>
      </rPr>
      <t xml:space="preserve">年</t>
    </r>
    <r>
      <rPr>
        <sz val="11"/>
        <rFont val="Noto Sans JP"/>
        <family val="0"/>
        <charset val="1"/>
      </rPr>
      <t xml:space="preserve">10</t>
    </r>
    <r>
      <rPr>
        <sz val="11"/>
        <rFont val="WenQuanYi Zen Hei"/>
        <family val="2"/>
      </rPr>
      <t xml:space="preserve">月</t>
    </r>
    <r>
      <rPr>
        <sz val="11"/>
        <rFont val="Noto Sans JP"/>
        <family val="0"/>
        <charset val="1"/>
      </rPr>
      <t xml:space="preserve">30</t>
    </r>
    <r>
      <rPr>
        <sz val="11"/>
        <rFont val="WenQuanYi Zen Hei"/>
        <family val="2"/>
      </rPr>
      <t xml:space="preserve">日。</t>
    </r>
  </si>
  <si>
    <r>
      <rPr>
        <sz val="11"/>
        <rFont val="WenQuanYi Zen Hei"/>
        <family val="2"/>
      </rPr>
      <t xml:space="preserve">外部</t>
    </r>
    <r>
      <rPr>
        <sz val="11"/>
        <rFont val="Noto Sans JP"/>
        <family val="0"/>
        <charset val="1"/>
      </rPr>
      <t xml:space="preserve">API</t>
    </r>
    <r>
      <rPr>
        <sz val="11"/>
        <rFont val="WenQuanYi Zen Hei"/>
        <family val="2"/>
      </rPr>
      <t xml:space="preserve">仕様の凍結の責任者は連携担当の鈴木さん、期限は</t>
    </r>
    <r>
      <rPr>
        <sz val="11"/>
        <rFont val="Noto Sans JP"/>
        <family val="0"/>
        <charset val="1"/>
      </rPr>
      <t xml:space="preserve">10</t>
    </r>
    <r>
      <rPr>
        <sz val="11"/>
        <rFont val="WenQuanYi Zen Hei"/>
        <family val="2"/>
      </rPr>
      <t xml:space="preserve">月</t>
    </r>
    <r>
      <rPr>
        <sz val="11"/>
        <rFont val="Noto Sans JP"/>
        <family val="0"/>
        <charset val="1"/>
      </rPr>
      <t xml:space="preserve">30</t>
    </r>
    <r>
      <rPr>
        <sz val="11"/>
        <rFont val="WenQuanYi Zen Hei"/>
        <family val="2"/>
      </rPr>
      <t xml:space="preserve">日（</t>
    </r>
    <r>
      <rPr>
        <sz val="11"/>
        <rFont val="Noto Sans JP"/>
        <family val="0"/>
        <charset val="1"/>
      </rPr>
      <t xml:space="preserve">2026</t>
    </r>
    <r>
      <rPr>
        <sz val="11"/>
        <rFont val="WenQuanYi Zen Hei"/>
        <family val="2"/>
      </rPr>
      <t xml:space="preserve">年）です（スライド</t>
    </r>
    <r>
      <rPr>
        <sz val="11"/>
        <rFont val="Noto Sans JP"/>
        <family val="0"/>
        <charset val="1"/>
      </rPr>
      <t xml:space="preserve">10</t>
    </r>
    <r>
      <rPr>
        <sz val="11"/>
        <rFont val="WenQuanYi Zen Hei"/>
        <family val="2"/>
      </rPr>
      <t xml:space="preserve">「決裁と次回までのアクション」より）。</t>
    </r>
  </si>
  <si>
    <t xml:space="preserve">/tmp/out/02-Q19.txt</t>
  </si>
  <si>
    <t xml:space="preserve">資料に記載がないため回答できない。</t>
  </si>
  <si>
    <r>
      <rPr>
        <sz val="11"/>
        <rFont val="WenQuanYi Zen Hei"/>
        <family val="2"/>
      </rPr>
      <t xml:space="preserve">資料には外部</t>
    </r>
    <r>
      <rPr>
        <sz val="11"/>
        <rFont val="Noto Sans JP"/>
        <family val="0"/>
        <charset val="1"/>
      </rPr>
      <t xml:space="preserve">API</t>
    </r>
    <r>
      <rPr>
        <sz val="11"/>
        <rFont val="WenQuanYi Zen Hei"/>
        <family val="2"/>
      </rPr>
      <t xml:space="preserve">提供会社の名称が記載されていないため、正式名称は不明です（資料末尾に「資料には外部</t>
    </r>
    <r>
      <rPr>
        <sz val="11"/>
        <rFont val="Noto Sans JP"/>
        <family val="0"/>
        <charset val="1"/>
      </rPr>
      <t xml:space="preserve">API</t>
    </r>
    <r>
      <rPr>
        <sz val="11"/>
        <rFont val="WenQuanYi Zen Hei"/>
        <family val="2"/>
      </rPr>
      <t xml:space="preserve">提供会社名および個別不具合</t>
    </r>
    <r>
      <rPr>
        <sz val="11"/>
        <rFont val="Noto Sans JP"/>
        <family val="0"/>
        <charset val="1"/>
      </rPr>
      <t xml:space="preserve">ID</t>
    </r>
    <r>
      <rPr>
        <sz val="11"/>
        <rFont val="WenQuanYi Zen Hei"/>
        <family val="2"/>
      </rPr>
      <t xml:space="preserve">を記載していない。」との注記あり）。</t>
    </r>
  </si>
  <si>
    <t xml:space="preserve">/tmp/out/02-Q20.txt</t>
  </si>
  <si>
    <r>
      <rPr>
        <b val="true"/>
        <sz val="15"/>
        <rFont val="WenQuanYi Zen Hei"/>
        <family val="2"/>
      </rPr>
      <t xml:space="preserve">営業実績と下期施策：テスト問題（</t>
    </r>
    <r>
      <rPr>
        <b val="true"/>
        <sz val="15"/>
        <rFont val="Noto Sans JP"/>
        <family val="0"/>
        <charset val="1"/>
      </rPr>
      <t xml:space="preserve">LLM</t>
    </r>
    <r>
      <rPr>
        <b val="true"/>
        <sz val="15"/>
        <rFont val="WenQuanYi Zen Hei"/>
        <family val="2"/>
      </rPr>
      <t xml:space="preserve">入力用）</t>
    </r>
  </si>
  <si>
    <t xml:space="preserve">03-Q01</t>
  </si>
  <si>
    <t xml:space="preserve">この資料の上期対象期間はいつですか。</t>
  </si>
  <si>
    <t xml:space="preserve">03-Q02</t>
  </si>
  <si>
    <t xml:space="preserve">上期売上の計画達成率を計算してください。</t>
  </si>
  <si>
    <t xml:space="preserve">03-Q03</t>
  </si>
  <si>
    <t xml:space="preserve">前年同期比の売上成長率を求めてください。</t>
  </si>
  <si>
    <t xml:space="preserve">03-Q04</t>
  </si>
  <si>
    <t xml:space="preserve">計画未達額が最も大きい地域と未達額を答えてください。</t>
  </si>
  <si>
    <t xml:space="preserve">03-Q05</t>
  </si>
  <si>
    <t xml:space="preserve">東日本の計画達成率はいくらですか。</t>
  </si>
  <si>
    <t xml:space="preserve">03-Q06</t>
  </si>
  <si>
    <r>
      <rPr>
        <sz val="11"/>
        <rFont val="WenQuanYi Zen Hei"/>
        <family val="2"/>
      </rPr>
      <t xml:space="preserve">売上が</t>
    </r>
    <r>
      <rPr>
        <sz val="11"/>
        <rFont val="Noto Sans JP"/>
        <family val="0"/>
        <charset val="1"/>
      </rPr>
      <t xml:space="preserve">100</t>
    </r>
    <r>
      <rPr>
        <sz val="11"/>
        <rFont val="WenQuanYi Zen Hei"/>
        <family val="2"/>
      </rPr>
      <t xml:space="preserve">百万円以上の月をすべて答えてください。</t>
    </r>
  </si>
  <si>
    <t xml:space="preserve">03-Q07</t>
  </si>
  <si>
    <t xml:space="preserve">上期の月平均売上はいくらですか。</t>
  </si>
  <si>
    <t xml:space="preserve">03-Q08</t>
  </si>
  <si>
    <t xml:space="preserve">売上総利益率が最高と最低の製品を答えてください。</t>
  </si>
  <si>
    <t xml:space="preserve">03-Q09</t>
  </si>
  <si>
    <r>
      <rPr>
        <sz val="11"/>
        <rFont val="WenQuanYi Zen Hei"/>
        <family val="2"/>
      </rPr>
      <t xml:space="preserve">クラウドが売上総利益全体に占める割合を小数第</t>
    </r>
    <r>
      <rPr>
        <sz val="11"/>
        <rFont val="Noto Sans JP"/>
        <family val="0"/>
        <charset val="1"/>
      </rPr>
      <t xml:space="preserve">1</t>
    </r>
    <r>
      <rPr>
        <sz val="11"/>
        <rFont val="WenQuanYi Zen Hei"/>
        <family val="2"/>
      </rPr>
      <t xml:space="preserve">位まで求めてください。</t>
    </r>
  </si>
  <si>
    <t xml:space="preserve">03-Q10</t>
  </si>
  <si>
    <t xml:space="preserve">各チャネルの受注率を答えてください。</t>
  </si>
  <si>
    <t xml:space="preserve">03-Q11</t>
  </si>
  <si>
    <r>
      <rPr>
        <sz val="11"/>
        <rFont val="WenQuanYi Zen Hei"/>
        <family val="2"/>
      </rPr>
      <t xml:space="preserve">受注</t>
    </r>
    <r>
      <rPr>
        <sz val="11"/>
        <rFont val="Noto Sans JP"/>
        <family val="0"/>
        <charset val="1"/>
      </rPr>
      <t xml:space="preserve">1</t>
    </r>
    <r>
      <rPr>
        <sz val="11"/>
        <rFont val="WenQuanYi Zen Hei"/>
        <family val="2"/>
      </rPr>
      <t xml:space="preserve">件当たりの受注額が最大のチャネルと金額を答えてください。</t>
    </r>
  </si>
  <si>
    <t xml:space="preserve">03-Q12</t>
  </si>
  <si>
    <r>
      <rPr>
        <sz val="11"/>
        <rFont val="WenQuanYi Zen Hei"/>
        <family val="2"/>
      </rPr>
      <t xml:space="preserve">受注額</t>
    </r>
    <r>
      <rPr>
        <sz val="11"/>
        <rFont val="Noto Sans JP"/>
        <family val="0"/>
        <charset val="1"/>
      </rPr>
      <t xml:space="preserve">490</t>
    </r>
    <r>
      <rPr>
        <sz val="11"/>
        <rFont val="WenQuanYi Zen Hei"/>
        <family val="2"/>
      </rPr>
      <t xml:space="preserve">百万円と売上</t>
    </r>
    <r>
      <rPr>
        <sz val="11"/>
        <rFont val="Noto Sans JP"/>
        <family val="0"/>
        <charset val="1"/>
      </rPr>
      <t xml:space="preserve">570</t>
    </r>
    <r>
      <rPr>
        <sz val="11"/>
        <rFont val="WenQuanYi Zen Hei"/>
        <family val="2"/>
      </rPr>
      <t xml:space="preserve">百万円の差を、集計ミスと断定できますか。</t>
    </r>
  </si>
  <si>
    <t xml:space="preserve">03-Q13</t>
  </si>
  <si>
    <r>
      <rPr>
        <sz val="11"/>
        <rFont val="WenQuanYi Zen Hei"/>
        <family val="2"/>
      </rPr>
      <t xml:space="preserve">価格と機能不足は分析対象の失注の何</t>
    </r>
    <r>
      <rPr>
        <sz val="11"/>
        <rFont val="Noto Sans JP"/>
        <family val="0"/>
        <charset val="1"/>
      </rPr>
      <t xml:space="preserve">%</t>
    </r>
    <r>
      <rPr>
        <sz val="11"/>
        <rFont val="WenQuanYi Zen Hei"/>
        <family val="2"/>
      </rPr>
      <t xml:space="preserve">ですか。</t>
    </r>
  </si>
  <si>
    <t xml:space="preserve">03-Q14</t>
  </si>
  <si>
    <r>
      <rPr>
        <sz val="11"/>
        <rFont val="WenQuanYi Zen Hei"/>
        <family val="2"/>
      </rPr>
      <t xml:space="preserve">失注理由</t>
    </r>
    <r>
      <rPr>
        <sz val="11"/>
        <rFont val="Noto Sans JP"/>
        <family val="0"/>
        <charset val="1"/>
      </rPr>
      <t xml:space="preserve">100</t>
    </r>
    <r>
      <rPr>
        <sz val="11"/>
        <rFont val="WenQuanYi Zen Hei"/>
        <family val="2"/>
      </rPr>
      <t xml:space="preserve">件の分析は全未受注商談を網羅していますか。</t>
    </r>
  </si>
  <si>
    <t xml:space="preserve">03-Q15</t>
  </si>
  <si>
    <t xml:space="preserve">提案中案件の加重見込額を計算してください。</t>
  </si>
  <si>
    <t xml:space="preserve">03-Q16</t>
  </si>
  <si>
    <t xml:space="preserve">加重見込額が最大の段階はどれですか。</t>
  </si>
  <si>
    <t xml:space="preserve">03-Q17</t>
  </si>
  <si>
    <r>
      <rPr>
        <sz val="11"/>
        <rFont val="WenQuanYi Zen Hei"/>
        <family val="2"/>
      </rPr>
      <t xml:space="preserve">加重見込額</t>
    </r>
    <r>
      <rPr>
        <sz val="11"/>
        <rFont val="Noto Sans JP"/>
        <family val="0"/>
        <charset val="1"/>
      </rPr>
      <t xml:space="preserve">305</t>
    </r>
    <r>
      <rPr>
        <sz val="11"/>
        <rFont val="WenQuanYi Zen Hei"/>
        <family val="2"/>
      </rPr>
      <t xml:space="preserve">百万円を下期売上目標</t>
    </r>
    <r>
      <rPr>
        <sz val="11"/>
        <rFont val="Noto Sans JP"/>
        <family val="0"/>
        <charset val="1"/>
      </rPr>
      <t xml:space="preserve">660</t>
    </r>
    <r>
      <rPr>
        <sz val="11"/>
        <rFont val="WenQuanYi Zen Hei"/>
        <family val="2"/>
      </rPr>
      <t xml:space="preserve">百万円から引き、売上不足額と断定できますか。</t>
    </r>
  </si>
  <si>
    <t xml:space="preserve">03-Q18</t>
  </si>
  <si>
    <t xml:space="preserve">価値比較資料をいつまでに誰が改訂しますか。</t>
  </si>
  <si>
    <t xml:space="preserve">03-Q19</t>
  </si>
  <si>
    <t xml:space="preserve">年間計画達成に必要な下期売上と、正式な下期目標との差はいくらですか。</t>
  </si>
  <si>
    <t xml:space="preserve">03-Q20</t>
  </si>
  <si>
    <r>
      <rPr>
        <sz val="11"/>
        <rFont val="WenQuanYi Zen Hei"/>
        <family val="2"/>
      </rPr>
      <t xml:space="preserve">施策費用</t>
    </r>
    <r>
      <rPr>
        <sz val="11"/>
        <rFont val="Noto Sans JP"/>
        <family val="0"/>
        <charset val="1"/>
      </rPr>
      <t xml:space="preserve">12</t>
    </r>
    <r>
      <rPr>
        <sz val="11"/>
        <rFont val="WenQuanYi Zen Hei"/>
        <family val="2"/>
      </rPr>
      <t xml:space="preserve">百万円のうち、勉強会への配分額はいくらですか。</t>
    </r>
  </si>
  <si>
    <t xml:space="preserve">営業実績と下期施策：期待回答・評価記録</t>
  </si>
  <si>
    <r>
      <rPr>
        <sz val="11"/>
        <rFont val="Noto Sans JP"/>
        <family val="0"/>
        <charset val="1"/>
      </rPr>
      <t xml:space="preserve">2026</t>
    </r>
    <r>
      <rPr>
        <sz val="11"/>
        <rFont val="WenQuanYi Zen Hei"/>
        <family val="2"/>
      </rPr>
      <t xml:space="preserve">年</t>
    </r>
    <r>
      <rPr>
        <sz val="11"/>
        <rFont val="Noto Sans JP"/>
        <family val="0"/>
        <charset val="1"/>
      </rPr>
      <t xml:space="preserve">4</t>
    </r>
    <r>
      <rPr>
        <sz val="11"/>
        <rFont val="WenQuanYi Zen Hei"/>
        <family val="2"/>
      </rPr>
      <t xml:space="preserve">月～</t>
    </r>
    <r>
      <rPr>
        <sz val="11"/>
        <rFont val="Noto Sans JP"/>
        <family val="0"/>
        <charset val="1"/>
      </rPr>
      <t xml:space="preserve">9</t>
    </r>
    <r>
      <rPr>
        <sz val="11"/>
        <rFont val="WenQuanYi Zen Hei"/>
        <family val="2"/>
      </rPr>
      <t xml:space="preserve">月。</t>
    </r>
  </si>
  <si>
    <r>
      <rPr>
        <sz val="11"/>
        <rFont val="Noto Sans JP"/>
        <family val="0"/>
        <charset val="1"/>
      </rPr>
      <t xml:space="preserve">2026</t>
    </r>
    <r>
      <rPr>
        <sz val="11"/>
        <rFont val="WenQuanYi Zen Hei"/>
        <family val="2"/>
      </rPr>
      <t xml:space="preserve">年</t>
    </r>
    <r>
      <rPr>
        <sz val="11"/>
        <rFont val="Noto Sans JP"/>
        <family val="0"/>
        <charset val="1"/>
      </rPr>
      <t xml:space="preserve">4</t>
    </r>
    <r>
      <rPr>
        <sz val="11"/>
        <rFont val="WenQuanYi Zen Hei"/>
        <family val="2"/>
      </rPr>
      <t xml:space="preserve">月～</t>
    </r>
    <r>
      <rPr>
        <sz val="11"/>
        <rFont val="Noto Sans JP"/>
        <family val="0"/>
        <charset val="1"/>
      </rPr>
      <t xml:space="preserve">9</t>
    </r>
    <r>
      <rPr>
        <sz val="11"/>
        <rFont val="WenQuanYi Zen Hei"/>
        <family val="2"/>
      </rPr>
      <t xml:space="preserve">月（</t>
    </r>
    <r>
      <rPr>
        <sz val="11"/>
        <rFont val="Noto Sans JP"/>
        <family val="0"/>
        <charset val="1"/>
      </rPr>
      <t xml:space="preserve">2026</t>
    </r>
    <r>
      <rPr>
        <sz val="11"/>
        <rFont val="WenQuanYi Zen Hei"/>
        <family val="2"/>
      </rPr>
      <t xml:space="preserve">年度上期）です。スライド</t>
    </r>
    <r>
      <rPr>
        <sz val="11"/>
        <rFont val="Noto Sans JP"/>
        <family val="0"/>
        <charset val="1"/>
      </rPr>
      <t xml:space="preserve">1</t>
    </r>
    <r>
      <rPr>
        <sz val="11"/>
        <rFont val="WenQuanYi Zen Hei"/>
        <family val="2"/>
      </rPr>
      <t xml:space="preserve">に「対象期間：</t>
    </r>
    <r>
      <rPr>
        <sz val="11"/>
        <rFont val="Noto Sans JP"/>
        <family val="0"/>
        <charset val="1"/>
      </rPr>
      <t xml:space="preserve">2026</t>
    </r>
    <r>
      <rPr>
        <sz val="11"/>
        <rFont val="WenQuanYi Zen Hei"/>
        <family val="2"/>
      </rPr>
      <t xml:space="preserve">年</t>
    </r>
    <r>
      <rPr>
        <sz val="11"/>
        <rFont val="Noto Sans JP"/>
        <family val="0"/>
        <charset val="1"/>
      </rPr>
      <t xml:space="preserve">4</t>
    </r>
    <r>
      <rPr>
        <sz val="11"/>
        <rFont val="WenQuanYi Zen Hei"/>
        <family val="2"/>
      </rPr>
      <t xml:space="preserve">月～</t>
    </r>
    <r>
      <rPr>
        <sz val="11"/>
        <rFont val="Noto Sans JP"/>
        <family val="0"/>
        <charset val="1"/>
      </rPr>
      <t xml:space="preserve">9</t>
    </r>
    <r>
      <rPr>
        <sz val="11"/>
        <rFont val="WenQuanYi Zen Hei"/>
        <family val="2"/>
      </rPr>
      <t xml:space="preserve">月」と記載されています。</t>
    </r>
  </si>
  <si>
    <t xml:space="preserve">/tmp/out/03-Q01.txt</t>
  </si>
  <si>
    <r>
      <rPr>
        <sz val="11"/>
        <rFont val="Noto Sans JP"/>
        <family val="0"/>
        <charset val="1"/>
      </rPr>
      <t xml:space="preserve">570÷600×100</t>
    </r>
    <r>
      <rPr>
        <sz val="11"/>
        <rFont val="WenQuanYi Zen Hei"/>
        <family val="2"/>
      </rPr>
      <t xml:space="preserve">＝</t>
    </r>
    <r>
      <rPr>
        <sz val="11"/>
        <rFont val="Noto Sans JP"/>
        <family val="0"/>
        <charset val="1"/>
      </rPr>
      <t xml:space="preserve">95%</t>
    </r>
    <r>
      <rPr>
        <sz val="11"/>
        <rFont val="WenQuanYi Zen Hei"/>
        <family val="2"/>
      </rPr>
      <t xml:space="preserve">。</t>
    </r>
  </si>
  <si>
    <r>
      <rPr>
        <sz val="11"/>
        <rFont val="WenQuanYi Zen Hei"/>
        <family val="2"/>
      </rPr>
      <t xml:space="preserve">上期売上の計画達成率は</t>
    </r>
    <r>
      <rPr>
        <sz val="11"/>
        <rFont val="Noto Sans JP"/>
        <family val="0"/>
        <charset val="1"/>
      </rPr>
      <t xml:space="preserve">95%</t>
    </r>
    <r>
      <rPr>
        <sz val="11"/>
        <rFont val="WenQuanYi Zen Hei"/>
        <family val="2"/>
      </rPr>
      <t xml:space="preserve">です。
計算：実績</t>
    </r>
    <r>
      <rPr>
        <sz val="11"/>
        <rFont val="Noto Sans JP"/>
        <family val="0"/>
        <charset val="1"/>
      </rPr>
      <t xml:space="preserve">570</t>
    </r>
    <r>
      <rPr>
        <sz val="11"/>
        <rFont val="WenQuanYi Zen Hei"/>
        <family val="2"/>
      </rPr>
      <t xml:space="preserve">百万円 </t>
    </r>
    <r>
      <rPr>
        <sz val="11"/>
        <rFont val="Noto Sans JP"/>
        <family val="0"/>
        <charset val="1"/>
      </rPr>
      <t xml:space="preserve">÷ </t>
    </r>
    <r>
      <rPr>
        <sz val="11"/>
        <rFont val="WenQuanYi Zen Hei"/>
        <family val="2"/>
      </rPr>
      <t xml:space="preserve">計画</t>
    </r>
    <r>
      <rPr>
        <sz val="11"/>
        <rFont val="Noto Sans JP"/>
        <family val="0"/>
        <charset val="1"/>
      </rPr>
      <t xml:space="preserve">600</t>
    </r>
    <r>
      <rPr>
        <sz val="11"/>
        <rFont val="WenQuanYi Zen Hei"/>
        <family val="2"/>
      </rPr>
      <t xml:space="preserve">百万円 </t>
    </r>
    <r>
      <rPr>
        <sz val="11"/>
        <rFont val="Noto Sans JP"/>
        <family val="0"/>
        <charset val="1"/>
      </rPr>
      <t xml:space="preserve">× 100 = 95.0%</t>
    </r>
    <r>
      <rPr>
        <sz val="11"/>
        <rFont val="WenQuanYi Zen Hei"/>
        <family val="2"/>
      </rPr>
      <t xml:space="preserve">（未達額</t>
    </r>
    <r>
      <rPr>
        <sz val="11"/>
        <rFont val="Noto Sans JP"/>
        <family val="0"/>
        <charset val="1"/>
      </rPr>
      <t xml:space="preserve">30</t>
    </r>
    <r>
      <rPr>
        <sz val="11"/>
        <rFont val="WenQuanYi Zen Hei"/>
        <family val="2"/>
      </rPr>
      <t xml:space="preserve">百万円）
根拠：スライド</t>
    </r>
    <r>
      <rPr>
        <sz val="11"/>
        <rFont val="Noto Sans JP"/>
        <family val="0"/>
        <charset val="1"/>
      </rPr>
      <t xml:space="preserve">2</t>
    </r>
    <r>
      <rPr>
        <sz val="11"/>
        <rFont val="WenQuanYi Zen Hei"/>
        <family val="2"/>
      </rPr>
      <t xml:space="preserve">「上期売上：実績</t>
    </r>
    <r>
      <rPr>
        <sz val="11"/>
        <rFont val="Noto Sans JP"/>
        <family val="0"/>
        <charset val="1"/>
      </rPr>
      <t xml:space="preserve">570</t>
    </r>
    <r>
      <rPr>
        <sz val="11"/>
        <rFont val="WenQuanYi Zen Hei"/>
        <family val="2"/>
      </rPr>
      <t xml:space="preserve">百万円／計画</t>
    </r>
    <r>
      <rPr>
        <sz val="11"/>
        <rFont val="Noto Sans JP"/>
        <family val="0"/>
        <charset val="1"/>
      </rPr>
      <t xml:space="preserve">600</t>
    </r>
    <r>
      <rPr>
        <sz val="11"/>
        <rFont val="WenQuanYi Zen Hei"/>
        <family val="2"/>
      </rPr>
      <t xml:space="preserve">百万円」、スライド</t>
    </r>
    <r>
      <rPr>
        <sz val="11"/>
        <rFont val="Noto Sans JP"/>
        <family val="0"/>
        <charset val="1"/>
      </rPr>
      <t xml:space="preserve">3</t>
    </r>
    <r>
      <rPr>
        <sz val="11"/>
        <rFont val="WenQuanYi Zen Hei"/>
        <family val="2"/>
      </rPr>
      <t xml:space="preserve">の地域別合計（計画</t>
    </r>
    <r>
      <rPr>
        <sz val="11"/>
        <rFont val="Noto Sans JP"/>
        <family val="0"/>
        <charset val="1"/>
      </rPr>
      <t xml:space="preserve">600</t>
    </r>
    <r>
      <rPr>
        <sz val="11"/>
        <rFont val="WenQuanYi Zen Hei"/>
        <family val="2"/>
      </rPr>
      <t xml:space="preserve">・実績</t>
    </r>
    <r>
      <rPr>
        <sz val="11"/>
        <rFont val="Noto Sans JP"/>
        <family val="0"/>
        <charset val="1"/>
      </rPr>
      <t xml:space="preserve">570</t>
    </r>
    <r>
      <rPr>
        <sz val="11"/>
        <rFont val="WenQuanYi Zen Hei"/>
        <family val="2"/>
      </rPr>
      <t xml:space="preserve">百万円）。
参考：地域別の達成率は東日本</t>
    </r>
    <r>
      <rPr>
        <sz val="11"/>
        <rFont val="Noto Sans JP"/>
        <family val="0"/>
        <charset val="1"/>
      </rPr>
      <t xml:space="preserve">105%</t>
    </r>
    <r>
      <rPr>
        <sz val="11"/>
        <rFont val="WenQuanYi Zen Hei"/>
        <family val="2"/>
      </rPr>
      <t xml:space="preserve">（</t>
    </r>
    <r>
      <rPr>
        <sz val="11"/>
        <rFont val="Noto Sans JP"/>
        <family val="0"/>
        <charset val="1"/>
      </rPr>
      <t xml:space="preserve">315/300</t>
    </r>
    <r>
      <rPr>
        <sz val="11"/>
        <rFont val="WenQuanYi Zen Hei"/>
        <family val="2"/>
      </rPr>
      <t xml:space="preserve">）、西日本</t>
    </r>
    <r>
      <rPr>
        <sz val="11"/>
        <rFont val="Noto Sans JP"/>
        <family val="0"/>
        <charset val="1"/>
      </rPr>
      <t xml:space="preserve">85%</t>
    </r>
    <r>
      <rPr>
        <sz val="11"/>
        <rFont val="WenQuanYi Zen Hei"/>
        <family val="2"/>
      </rPr>
      <t xml:space="preserve">（</t>
    </r>
    <r>
      <rPr>
        <sz val="11"/>
        <rFont val="Noto Sans JP"/>
        <family val="0"/>
        <charset val="1"/>
      </rPr>
      <t xml:space="preserve">170/200</t>
    </r>
    <r>
      <rPr>
        <sz val="11"/>
        <rFont val="WenQuanYi Zen Hei"/>
        <family val="2"/>
      </rPr>
      <t xml:space="preserve">）、中部</t>
    </r>
    <r>
      <rPr>
        <sz val="11"/>
        <rFont val="Noto Sans JP"/>
        <family val="0"/>
        <charset val="1"/>
      </rPr>
      <t xml:space="preserve">85%</t>
    </r>
    <r>
      <rPr>
        <sz val="11"/>
        <rFont val="WenQuanYi Zen Hei"/>
        <family val="2"/>
      </rPr>
      <t xml:space="preserve">（</t>
    </r>
    <r>
      <rPr>
        <sz val="11"/>
        <rFont val="Noto Sans JP"/>
        <family val="0"/>
        <charset val="1"/>
      </rPr>
      <t xml:space="preserve">85/100</t>
    </r>
    <r>
      <rPr>
        <sz val="11"/>
        <rFont val="WenQuanYi Zen Hei"/>
        <family val="2"/>
      </rPr>
      <t xml:space="preserve">）。</t>
    </r>
  </si>
  <si>
    <t xml:space="preserve">/tmp/out/03-Q02.txt</t>
  </si>
  <si>
    <r>
      <rPr>
        <sz val="11"/>
        <rFont val="Noto Sans JP"/>
        <family val="0"/>
        <charset val="1"/>
      </rPr>
      <t xml:space="preserve">(570</t>
    </r>
    <r>
      <rPr>
        <sz val="11"/>
        <rFont val="WenQuanYi Zen Hei"/>
        <family val="2"/>
      </rPr>
      <t xml:space="preserve">－</t>
    </r>
    <r>
      <rPr>
        <sz val="11"/>
        <rFont val="Noto Sans JP"/>
        <family val="0"/>
        <charset val="1"/>
      </rPr>
      <t xml:space="preserve">500)÷500×100</t>
    </r>
    <r>
      <rPr>
        <sz val="11"/>
        <rFont val="WenQuanYi Zen Hei"/>
        <family val="2"/>
      </rPr>
      <t xml:space="preserve">＝</t>
    </r>
    <r>
      <rPr>
        <sz val="11"/>
        <rFont val="Noto Sans JP"/>
        <family val="0"/>
        <charset val="1"/>
      </rPr>
      <t xml:space="preserve">14%</t>
    </r>
    <r>
      <rPr>
        <sz val="11"/>
        <rFont val="WenQuanYi Zen Hei"/>
        <family val="2"/>
      </rPr>
      <t xml:space="preserve">。</t>
    </r>
  </si>
  <si>
    <r>
      <rPr>
        <sz val="11"/>
        <rFont val="WenQuanYi Zen Hei"/>
        <family val="2"/>
      </rPr>
      <t xml:space="preserve">前年同期比の売上成長率は</t>
    </r>
    <r>
      <rPr>
        <sz val="11"/>
        <rFont val="Noto Sans JP"/>
        <family val="0"/>
        <charset val="1"/>
      </rPr>
      <t xml:space="preserve">14%</t>
    </r>
    <r>
      <rPr>
        <sz val="11"/>
        <rFont val="WenQuanYi Zen Hei"/>
        <family val="2"/>
      </rPr>
      <t xml:space="preserve">です（上期売上実績</t>
    </r>
    <r>
      <rPr>
        <sz val="11"/>
        <rFont val="Noto Sans JP"/>
        <family val="0"/>
        <charset val="1"/>
      </rPr>
      <t xml:space="preserve">570</t>
    </r>
    <r>
      <rPr>
        <sz val="11"/>
        <rFont val="WenQuanYi Zen Hei"/>
        <family val="2"/>
      </rPr>
      <t xml:space="preserve">百万円</t>
    </r>
    <r>
      <rPr>
        <sz val="11"/>
        <rFont val="Noto Sans JP"/>
        <family val="0"/>
        <charset val="1"/>
      </rPr>
      <t xml:space="preserve">÷</t>
    </r>
    <r>
      <rPr>
        <sz val="11"/>
        <rFont val="WenQuanYi Zen Hei"/>
        <family val="2"/>
      </rPr>
      <t xml:space="preserve">前年同期売上</t>
    </r>
    <r>
      <rPr>
        <sz val="11"/>
        <rFont val="Noto Sans JP"/>
        <family val="0"/>
        <charset val="1"/>
      </rPr>
      <t xml:space="preserve">500</t>
    </r>
    <r>
      <rPr>
        <sz val="11"/>
        <rFont val="WenQuanYi Zen Hei"/>
        <family val="2"/>
      </rPr>
      <t xml:space="preserve">百万円−</t>
    </r>
    <r>
      <rPr>
        <sz val="11"/>
        <rFont val="Noto Sans JP"/>
        <family val="0"/>
        <charset val="1"/>
      </rPr>
      <t xml:space="preserve">1</t>
    </r>
    <r>
      <rPr>
        <sz val="11"/>
        <rFont val="WenQuanYi Zen Hei"/>
        <family val="2"/>
      </rPr>
      <t xml:space="preserve">＝</t>
    </r>
    <r>
      <rPr>
        <sz val="11"/>
        <rFont val="Noto Sans JP"/>
        <family val="0"/>
        <charset val="1"/>
      </rPr>
      <t xml:space="preserve">0.14</t>
    </r>
    <r>
      <rPr>
        <sz val="11"/>
        <rFont val="WenQuanYi Zen Hei"/>
        <family val="2"/>
      </rPr>
      <t xml:space="preserve">。</t>
    </r>
    <r>
      <rPr>
        <sz val="11"/>
        <rFont val="Noto Sans JP"/>
        <family val="0"/>
        <charset val="1"/>
      </rPr>
      <t xml:space="preserve">70</t>
    </r>
    <r>
      <rPr>
        <sz val="11"/>
        <rFont val="WenQuanYi Zen Hei"/>
        <family val="2"/>
      </rPr>
      <t xml:space="preserve">百万円の増収。スライド</t>
    </r>
    <r>
      <rPr>
        <sz val="11"/>
        <rFont val="Noto Sans JP"/>
        <family val="0"/>
        <charset val="1"/>
      </rPr>
      <t xml:space="preserve">2</t>
    </r>
    <r>
      <rPr>
        <sz val="11"/>
        <rFont val="WenQuanYi Zen Hei"/>
        <family val="2"/>
      </rPr>
      <t xml:space="preserve">より）。</t>
    </r>
  </si>
  <si>
    <t xml:space="preserve">/tmp/out/03-Q03.txt</t>
  </si>
  <si>
    <r>
      <rPr>
        <sz val="11"/>
        <rFont val="WenQuanYi Zen Hei"/>
        <family val="2"/>
      </rPr>
      <t xml:space="preserve">西日本、</t>
    </r>
    <r>
      <rPr>
        <sz val="11"/>
        <rFont val="Noto Sans JP"/>
        <family val="0"/>
        <charset val="1"/>
      </rPr>
      <t xml:space="preserve">200</t>
    </r>
    <r>
      <rPr>
        <sz val="11"/>
        <rFont val="WenQuanYi Zen Hei"/>
        <family val="2"/>
      </rPr>
      <t xml:space="preserve">－</t>
    </r>
    <r>
      <rPr>
        <sz val="11"/>
        <rFont val="Noto Sans JP"/>
        <family val="0"/>
        <charset val="1"/>
      </rPr>
      <t xml:space="preserve">170</t>
    </r>
    <r>
      <rPr>
        <sz val="11"/>
        <rFont val="WenQuanYi Zen Hei"/>
        <family val="2"/>
      </rPr>
      <t xml:space="preserve">＝</t>
    </r>
    <r>
      <rPr>
        <sz val="11"/>
        <rFont val="Noto Sans JP"/>
        <family val="0"/>
        <charset val="1"/>
      </rPr>
      <t xml:space="preserve">30</t>
    </r>
    <r>
      <rPr>
        <sz val="11"/>
        <rFont val="WenQuanYi Zen Hei"/>
        <family val="2"/>
      </rPr>
      <t xml:space="preserve">百万円。</t>
    </r>
  </si>
  <si>
    <r>
      <rPr>
        <sz val="11"/>
        <rFont val="WenQuanYi Zen Hei"/>
        <family val="2"/>
      </rPr>
      <t xml:space="preserve">計画未達額が最も大きい地域は西日本で、未達額は</t>
    </r>
    <r>
      <rPr>
        <sz val="11"/>
        <rFont val="Noto Sans JP"/>
        <family val="0"/>
        <charset val="1"/>
      </rPr>
      <t xml:space="preserve">30</t>
    </r>
    <r>
      <rPr>
        <sz val="11"/>
        <rFont val="WenQuanYi Zen Hei"/>
        <family val="2"/>
      </rPr>
      <t xml:space="preserve">百万円です（計画</t>
    </r>
    <r>
      <rPr>
        <sz val="11"/>
        <rFont val="Noto Sans JP"/>
        <family val="0"/>
        <charset val="1"/>
      </rPr>
      <t xml:space="preserve">200</t>
    </r>
    <r>
      <rPr>
        <sz val="11"/>
        <rFont val="WenQuanYi Zen Hei"/>
        <family val="2"/>
      </rPr>
      <t xml:space="preserve">百万円に対し実績</t>
    </r>
    <r>
      <rPr>
        <sz val="11"/>
        <rFont val="Noto Sans JP"/>
        <family val="0"/>
        <charset val="1"/>
      </rPr>
      <t xml:space="preserve">170</t>
    </r>
    <r>
      <rPr>
        <sz val="11"/>
        <rFont val="WenQuanYi Zen Hei"/>
        <family val="2"/>
      </rPr>
      <t xml:space="preserve">百万円）。</t>
    </r>
  </si>
  <si>
    <t xml:space="preserve">/tmp/out/03-Q04.txt</t>
  </si>
  <si>
    <r>
      <rPr>
        <sz val="11"/>
        <rFont val="Noto Sans JP"/>
        <family val="0"/>
        <charset val="1"/>
      </rPr>
      <t xml:space="preserve">315÷300×100</t>
    </r>
    <r>
      <rPr>
        <sz val="11"/>
        <rFont val="WenQuanYi Zen Hei"/>
        <family val="2"/>
      </rPr>
      <t xml:space="preserve">＝</t>
    </r>
    <r>
      <rPr>
        <sz val="11"/>
        <rFont val="Noto Sans JP"/>
        <family val="0"/>
        <charset val="1"/>
      </rPr>
      <t xml:space="preserve">105%</t>
    </r>
    <r>
      <rPr>
        <sz val="11"/>
        <rFont val="WenQuanYi Zen Hei"/>
        <family val="2"/>
      </rPr>
      <t xml:space="preserve">。</t>
    </r>
  </si>
  <si>
    <r>
      <rPr>
        <sz val="11"/>
        <rFont val="WenQuanYi Zen Hei"/>
        <family val="2"/>
      </rPr>
      <t xml:space="preserve">東日本の計画達成率は</t>
    </r>
    <r>
      <rPr>
        <sz val="11"/>
        <rFont val="Noto Sans JP"/>
        <family val="0"/>
        <charset val="1"/>
      </rPr>
      <t xml:space="preserve">105%</t>
    </r>
    <r>
      <rPr>
        <sz val="11"/>
        <rFont val="WenQuanYi Zen Hei"/>
        <family val="2"/>
      </rPr>
      <t xml:space="preserve">です（実績</t>
    </r>
    <r>
      <rPr>
        <sz val="11"/>
        <rFont val="Noto Sans JP"/>
        <family val="0"/>
        <charset val="1"/>
      </rPr>
      <t xml:space="preserve">315</t>
    </r>
    <r>
      <rPr>
        <sz val="11"/>
        <rFont val="WenQuanYi Zen Hei"/>
        <family val="2"/>
      </rPr>
      <t xml:space="preserve">百万円</t>
    </r>
    <r>
      <rPr>
        <sz val="11"/>
        <rFont val="Noto Sans JP"/>
        <family val="0"/>
        <charset val="1"/>
      </rPr>
      <t xml:space="preserve">÷</t>
    </r>
    <r>
      <rPr>
        <sz val="11"/>
        <rFont val="WenQuanYi Zen Hei"/>
        <family val="2"/>
      </rPr>
      <t xml:space="preserve">計画</t>
    </r>
    <r>
      <rPr>
        <sz val="11"/>
        <rFont val="Noto Sans JP"/>
        <family val="0"/>
        <charset val="1"/>
      </rPr>
      <t xml:space="preserve">300</t>
    </r>
    <r>
      <rPr>
        <sz val="11"/>
        <rFont val="WenQuanYi Zen Hei"/>
        <family val="2"/>
      </rPr>
      <t xml:space="preserve">百万円）。</t>
    </r>
  </si>
  <si>
    <t xml:space="preserve">/tmp/out/03-Q05.txt</t>
  </si>
  <si>
    <r>
      <rPr>
        <sz val="11"/>
        <rFont val="Noto Sans JP"/>
        <family val="0"/>
        <charset val="1"/>
      </rPr>
      <t xml:space="preserve">7</t>
    </r>
    <r>
      <rPr>
        <sz val="11"/>
        <rFont val="WenQuanYi Zen Hei"/>
        <family val="2"/>
      </rPr>
      <t xml:space="preserve">月</t>
    </r>
    <r>
      <rPr>
        <sz val="11"/>
        <rFont val="Noto Sans JP"/>
        <family val="0"/>
        <charset val="1"/>
      </rPr>
      <t xml:space="preserve">100</t>
    </r>
    <r>
      <rPr>
        <sz val="11"/>
        <rFont val="WenQuanYi Zen Hei"/>
        <family val="2"/>
      </rPr>
      <t xml:space="preserve">、</t>
    </r>
    <r>
      <rPr>
        <sz val="11"/>
        <rFont val="Noto Sans JP"/>
        <family val="0"/>
        <charset val="1"/>
      </rPr>
      <t xml:space="preserve">8</t>
    </r>
    <r>
      <rPr>
        <sz val="11"/>
        <rFont val="WenQuanYi Zen Hei"/>
        <family val="2"/>
      </rPr>
      <t xml:space="preserve">月</t>
    </r>
    <r>
      <rPr>
        <sz val="11"/>
        <rFont val="Noto Sans JP"/>
        <family val="0"/>
        <charset val="1"/>
      </rPr>
      <t xml:space="preserve">110</t>
    </r>
    <r>
      <rPr>
        <sz val="11"/>
        <rFont val="WenQuanYi Zen Hei"/>
        <family val="2"/>
      </rPr>
      <t xml:space="preserve">、</t>
    </r>
    <r>
      <rPr>
        <sz val="11"/>
        <rFont val="Noto Sans JP"/>
        <family val="0"/>
        <charset val="1"/>
      </rPr>
      <t xml:space="preserve">9</t>
    </r>
    <r>
      <rPr>
        <sz val="11"/>
        <rFont val="WenQuanYi Zen Hei"/>
        <family val="2"/>
      </rPr>
      <t xml:space="preserve">月</t>
    </r>
    <r>
      <rPr>
        <sz val="11"/>
        <rFont val="Noto Sans JP"/>
        <family val="0"/>
        <charset val="1"/>
      </rPr>
      <t xml:space="preserve">120</t>
    </r>
    <r>
      <rPr>
        <sz val="11"/>
        <rFont val="WenQuanYi Zen Hei"/>
        <family val="2"/>
      </rPr>
      <t xml:space="preserve">百万円。</t>
    </r>
  </si>
  <si>
    <r>
      <rPr>
        <sz val="11"/>
        <rFont val="WenQuanYi Zen Hei"/>
        <family val="2"/>
      </rPr>
      <t xml:space="preserve">売上が</t>
    </r>
    <r>
      <rPr>
        <sz val="11"/>
        <rFont val="Noto Sans JP"/>
        <family val="0"/>
        <charset val="1"/>
      </rPr>
      <t xml:space="preserve">100</t>
    </r>
    <r>
      <rPr>
        <sz val="11"/>
        <rFont val="WenQuanYi Zen Hei"/>
        <family val="2"/>
      </rPr>
      <t xml:space="preserve">百万円以上の月は、</t>
    </r>
    <r>
      <rPr>
        <sz val="11"/>
        <rFont val="Noto Sans JP"/>
        <family val="0"/>
        <charset val="1"/>
      </rPr>
      <t xml:space="preserve">7</t>
    </r>
    <r>
      <rPr>
        <sz val="11"/>
        <rFont val="WenQuanYi Zen Hei"/>
        <family val="2"/>
      </rPr>
      <t xml:space="preserve">月（</t>
    </r>
    <r>
      <rPr>
        <sz val="11"/>
        <rFont val="Noto Sans JP"/>
        <family val="0"/>
        <charset val="1"/>
      </rPr>
      <t xml:space="preserve">100</t>
    </r>
    <r>
      <rPr>
        <sz val="11"/>
        <rFont val="WenQuanYi Zen Hei"/>
        <family val="2"/>
      </rPr>
      <t xml:space="preserve">百万円）、</t>
    </r>
    <r>
      <rPr>
        <sz val="11"/>
        <rFont val="Noto Sans JP"/>
        <family val="0"/>
        <charset val="1"/>
      </rPr>
      <t xml:space="preserve">8</t>
    </r>
    <r>
      <rPr>
        <sz val="11"/>
        <rFont val="WenQuanYi Zen Hei"/>
        <family val="2"/>
      </rPr>
      <t xml:space="preserve">月（</t>
    </r>
    <r>
      <rPr>
        <sz val="11"/>
        <rFont val="Noto Sans JP"/>
        <family val="0"/>
        <charset val="1"/>
      </rPr>
      <t xml:space="preserve">110</t>
    </r>
    <r>
      <rPr>
        <sz val="11"/>
        <rFont val="WenQuanYi Zen Hei"/>
        <family val="2"/>
      </rPr>
      <t xml:space="preserve">百万円）、</t>
    </r>
    <r>
      <rPr>
        <sz val="11"/>
        <rFont val="Noto Sans JP"/>
        <family val="0"/>
        <charset val="1"/>
      </rPr>
      <t xml:space="preserve">9</t>
    </r>
    <r>
      <rPr>
        <sz val="11"/>
        <rFont val="WenQuanYi Zen Hei"/>
        <family val="2"/>
      </rPr>
      <t xml:space="preserve">月（</t>
    </r>
    <r>
      <rPr>
        <sz val="11"/>
        <rFont val="Noto Sans JP"/>
        <family val="0"/>
        <charset val="1"/>
      </rPr>
      <t xml:space="preserve">120</t>
    </r>
    <r>
      <rPr>
        <sz val="11"/>
        <rFont val="WenQuanYi Zen Hei"/>
        <family val="2"/>
      </rPr>
      <t xml:space="preserve">百万円）の</t>
    </r>
    <r>
      <rPr>
        <sz val="11"/>
        <rFont val="Noto Sans JP"/>
        <family val="0"/>
        <charset val="1"/>
      </rPr>
      <t xml:space="preserve">3</t>
    </r>
    <r>
      <rPr>
        <sz val="11"/>
        <rFont val="WenQuanYi Zen Hei"/>
        <family val="2"/>
      </rPr>
      <t xml:space="preserve">か月です。（出典：スライド</t>
    </r>
    <r>
      <rPr>
        <sz val="11"/>
        <rFont val="Noto Sans JP"/>
        <family val="0"/>
        <charset val="1"/>
      </rPr>
      <t xml:space="preserve">4</t>
    </r>
    <r>
      <rPr>
        <sz val="11"/>
        <rFont val="WenQuanYi Zen Hei"/>
        <family val="2"/>
      </rPr>
      <t xml:space="preserve">「</t>
    </r>
    <r>
      <rPr>
        <sz val="11"/>
        <rFont val="Noto Sans JP"/>
        <family val="0"/>
        <charset val="1"/>
      </rPr>
      <t xml:space="preserve">2026</t>
    </r>
    <r>
      <rPr>
        <sz val="11"/>
        <rFont val="WenQuanYi Zen Hei"/>
        <family val="2"/>
      </rPr>
      <t xml:space="preserve">年上期の月別売上」）</t>
    </r>
  </si>
  <si>
    <t xml:space="preserve">/tmp/out/03-Q06.txt</t>
  </si>
  <si>
    <r>
      <rPr>
        <sz val="11"/>
        <rFont val="Noto Sans JP"/>
        <family val="0"/>
        <charset val="1"/>
      </rPr>
      <t xml:space="preserve">570÷6</t>
    </r>
    <r>
      <rPr>
        <sz val="11"/>
        <rFont val="WenQuanYi Zen Hei"/>
        <family val="2"/>
      </rPr>
      <t xml:space="preserve">＝</t>
    </r>
    <r>
      <rPr>
        <sz val="11"/>
        <rFont val="Noto Sans JP"/>
        <family val="0"/>
        <charset val="1"/>
      </rPr>
      <t xml:space="preserve">95</t>
    </r>
    <r>
      <rPr>
        <sz val="11"/>
        <rFont val="WenQuanYi Zen Hei"/>
        <family val="2"/>
      </rPr>
      <t xml:space="preserve">百万円。</t>
    </r>
  </si>
  <si>
    <r>
      <rPr>
        <sz val="11"/>
        <rFont val="WenQuanYi Zen Hei"/>
        <family val="2"/>
      </rPr>
      <t xml:space="preserve">上期（</t>
    </r>
    <r>
      <rPr>
        <sz val="11"/>
        <rFont val="Noto Sans JP"/>
        <family val="0"/>
        <charset val="1"/>
      </rPr>
      <t xml:space="preserve">2026</t>
    </r>
    <r>
      <rPr>
        <sz val="11"/>
        <rFont val="WenQuanYi Zen Hei"/>
        <family val="2"/>
      </rPr>
      <t xml:space="preserve">年</t>
    </r>
    <r>
      <rPr>
        <sz val="11"/>
        <rFont val="Noto Sans JP"/>
        <family val="0"/>
        <charset val="1"/>
      </rPr>
      <t xml:space="preserve">4</t>
    </r>
    <r>
      <rPr>
        <sz val="11"/>
        <rFont val="WenQuanYi Zen Hei"/>
        <family val="2"/>
      </rPr>
      <t xml:space="preserve">月～</t>
    </r>
    <r>
      <rPr>
        <sz val="11"/>
        <rFont val="Noto Sans JP"/>
        <family val="0"/>
        <charset val="1"/>
      </rPr>
      <t xml:space="preserve">9</t>
    </r>
    <r>
      <rPr>
        <sz val="11"/>
        <rFont val="WenQuanYi Zen Hei"/>
        <family val="2"/>
      </rPr>
      <t xml:space="preserve">月）の月平均売上は</t>
    </r>
    <r>
      <rPr>
        <sz val="11"/>
        <rFont val="Noto Sans JP"/>
        <family val="0"/>
        <charset val="1"/>
      </rPr>
      <t xml:space="preserve">95</t>
    </r>
    <r>
      <rPr>
        <sz val="11"/>
        <rFont val="WenQuanYi Zen Hei"/>
        <family val="2"/>
      </rPr>
      <t xml:space="preserve">百万円です（上期合計</t>
    </r>
    <r>
      <rPr>
        <sz val="11"/>
        <rFont val="Noto Sans JP"/>
        <family val="0"/>
        <charset val="1"/>
      </rPr>
      <t xml:space="preserve">570</t>
    </r>
    <r>
      <rPr>
        <sz val="11"/>
        <rFont val="WenQuanYi Zen Hei"/>
        <family val="2"/>
      </rPr>
      <t xml:space="preserve">百万円</t>
    </r>
    <r>
      <rPr>
        <sz val="11"/>
        <rFont val="Noto Sans JP"/>
        <family val="0"/>
        <charset val="1"/>
      </rPr>
      <t xml:space="preserve">÷6</t>
    </r>
    <r>
      <rPr>
        <sz val="11"/>
        <rFont val="WenQuanYi Zen Hei"/>
        <family val="2"/>
      </rPr>
      <t xml:space="preserve">か月）。月別実績は</t>
    </r>
    <r>
      <rPr>
        <sz val="11"/>
        <rFont val="Noto Sans JP"/>
        <family val="0"/>
        <charset val="1"/>
      </rPr>
      <t xml:space="preserve">4</t>
    </r>
    <r>
      <rPr>
        <sz val="11"/>
        <rFont val="WenQuanYi Zen Hei"/>
        <family val="2"/>
      </rPr>
      <t xml:space="preserve">月</t>
    </r>
    <r>
      <rPr>
        <sz val="11"/>
        <rFont val="Noto Sans JP"/>
        <family val="0"/>
        <charset val="1"/>
      </rPr>
      <t xml:space="preserve">70</t>
    </r>
    <r>
      <rPr>
        <sz val="11"/>
        <rFont val="WenQuanYi Zen Hei"/>
        <family val="2"/>
      </rPr>
      <t xml:space="preserve">、</t>
    </r>
    <r>
      <rPr>
        <sz val="11"/>
        <rFont val="Noto Sans JP"/>
        <family val="0"/>
        <charset val="1"/>
      </rPr>
      <t xml:space="preserve">5</t>
    </r>
    <r>
      <rPr>
        <sz val="11"/>
        <rFont val="WenQuanYi Zen Hei"/>
        <family val="2"/>
      </rPr>
      <t xml:space="preserve">月</t>
    </r>
    <r>
      <rPr>
        <sz val="11"/>
        <rFont val="Noto Sans JP"/>
        <family val="0"/>
        <charset val="1"/>
      </rPr>
      <t xml:space="preserve">80</t>
    </r>
    <r>
      <rPr>
        <sz val="11"/>
        <rFont val="WenQuanYi Zen Hei"/>
        <family val="2"/>
      </rPr>
      <t xml:space="preserve">、</t>
    </r>
    <r>
      <rPr>
        <sz val="11"/>
        <rFont val="Noto Sans JP"/>
        <family val="0"/>
        <charset val="1"/>
      </rPr>
      <t xml:space="preserve">6</t>
    </r>
    <r>
      <rPr>
        <sz val="11"/>
        <rFont val="WenQuanYi Zen Hei"/>
        <family val="2"/>
      </rPr>
      <t xml:space="preserve">月</t>
    </r>
    <r>
      <rPr>
        <sz val="11"/>
        <rFont val="Noto Sans JP"/>
        <family val="0"/>
        <charset val="1"/>
      </rPr>
      <t xml:space="preserve">90</t>
    </r>
    <r>
      <rPr>
        <sz val="11"/>
        <rFont val="WenQuanYi Zen Hei"/>
        <family val="2"/>
      </rPr>
      <t xml:space="preserve">、</t>
    </r>
    <r>
      <rPr>
        <sz val="11"/>
        <rFont val="Noto Sans JP"/>
        <family val="0"/>
        <charset val="1"/>
      </rPr>
      <t xml:space="preserve">7</t>
    </r>
    <r>
      <rPr>
        <sz val="11"/>
        <rFont val="WenQuanYi Zen Hei"/>
        <family val="2"/>
      </rPr>
      <t xml:space="preserve">月</t>
    </r>
    <r>
      <rPr>
        <sz val="11"/>
        <rFont val="Noto Sans JP"/>
        <family val="0"/>
        <charset val="1"/>
      </rPr>
      <t xml:space="preserve">100</t>
    </r>
    <r>
      <rPr>
        <sz val="11"/>
        <rFont val="WenQuanYi Zen Hei"/>
        <family val="2"/>
      </rPr>
      <t xml:space="preserve">、</t>
    </r>
    <r>
      <rPr>
        <sz val="11"/>
        <rFont val="Noto Sans JP"/>
        <family val="0"/>
        <charset val="1"/>
      </rPr>
      <t xml:space="preserve">8</t>
    </r>
    <r>
      <rPr>
        <sz val="11"/>
        <rFont val="WenQuanYi Zen Hei"/>
        <family val="2"/>
      </rPr>
      <t xml:space="preserve">月</t>
    </r>
    <r>
      <rPr>
        <sz val="11"/>
        <rFont val="Noto Sans JP"/>
        <family val="0"/>
        <charset val="1"/>
      </rPr>
      <t xml:space="preserve">110</t>
    </r>
    <r>
      <rPr>
        <sz val="11"/>
        <rFont val="WenQuanYi Zen Hei"/>
        <family val="2"/>
      </rPr>
      <t xml:space="preserve">、</t>
    </r>
    <r>
      <rPr>
        <sz val="11"/>
        <rFont val="Noto Sans JP"/>
        <family val="0"/>
        <charset val="1"/>
      </rPr>
      <t xml:space="preserve">9</t>
    </r>
    <r>
      <rPr>
        <sz val="11"/>
        <rFont val="WenQuanYi Zen Hei"/>
        <family val="2"/>
      </rPr>
      <t xml:space="preserve">月</t>
    </r>
    <r>
      <rPr>
        <sz val="11"/>
        <rFont val="Noto Sans JP"/>
        <family val="0"/>
        <charset val="1"/>
      </rPr>
      <t xml:space="preserve">120</t>
    </r>
    <r>
      <rPr>
        <sz val="11"/>
        <rFont val="WenQuanYi Zen Hei"/>
        <family val="2"/>
      </rPr>
      <t xml:space="preserve">百万円で、スライド</t>
    </r>
    <r>
      <rPr>
        <sz val="11"/>
        <rFont val="Noto Sans JP"/>
        <family val="0"/>
        <charset val="1"/>
      </rPr>
      <t xml:space="preserve">4</t>
    </r>
    <r>
      <rPr>
        <sz val="11"/>
        <rFont val="WenQuanYi Zen Hei"/>
        <family val="2"/>
      </rPr>
      <t xml:space="preserve">の補足「月平均：</t>
    </r>
    <r>
      <rPr>
        <sz val="11"/>
        <rFont val="Noto Sans JP"/>
        <family val="0"/>
        <charset val="1"/>
      </rPr>
      <t xml:space="preserve">95</t>
    </r>
    <r>
      <rPr>
        <sz val="11"/>
        <rFont val="WenQuanYi Zen Hei"/>
        <family val="2"/>
      </rPr>
      <t xml:space="preserve">百万円」とも一致します。</t>
    </r>
  </si>
  <si>
    <t xml:space="preserve">/tmp/out/03-Q07.txt</t>
  </si>
  <si>
    <r>
      <rPr>
        <sz val="11"/>
        <rFont val="WenQuanYi Zen Hei"/>
        <family val="2"/>
      </rPr>
      <t xml:space="preserve">最高はクラウド</t>
    </r>
    <r>
      <rPr>
        <sz val="11"/>
        <rFont val="Noto Sans JP"/>
        <family val="0"/>
        <charset val="1"/>
      </rPr>
      <t xml:space="preserve">40%</t>
    </r>
    <r>
      <rPr>
        <sz val="11"/>
        <rFont val="WenQuanYi Zen Hei"/>
        <family val="2"/>
      </rPr>
      <t xml:space="preserve">、最低は機器販売</t>
    </r>
    <r>
      <rPr>
        <sz val="11"/>
        <rFont val="Noto Sans JP"/>
        <family val="0"/>
        <charset val="1"/>
      </rPr>
      <t xml:space="preserve">7.5%</t>
    </r>
    <r>
      <rPr>
        <sz val="11"/>
        <rFont val="WenQuanYi Zen Hei"/>
        <family val="2"/>
      </rPr>
      <t xml:space="preserve">。</t>
    </r>
  </si>
  <si>
    <r>
      <rPr>
        <sz val="11"/>
        <rFont val="WenQuanYi Zen Hei"/>
        <family val="2"/>
      </rPr>
      <t xml:space="preserve">売上総利益率が最高の製品はクラウド（</t>
    </r>
    <r>
      <rPr>
        <sz val="11"/>
        <rFont val="Noto Sans JP"/>
        <family val="0"/>
        <charset val="1"/>
      </rPr>
      <t xml:space="preserve">40%</t>
    </r>
    <r>
      <rPr>
        <sz val="11"/>
        <rFont val="WenQuanYi Zen Hei"/>
        <family val="2"/>
      </rPr>
      <t xml:space="preserve">：売上総利益</t>
    </r>
    <r>
      <rPr>
        <sz val="11"/>
        <rFont val="Noto Sans JP"/>
        <family val="0"/>
        <charset val="1"/>
      </rPr>
      <t xml:space="preserve">108</t>
    </r>
    <r>
      <rPr>
        <sz val="11"/>
        <rFont val="WenQuanYi Zen Hei"/>
        <family val="2"/>
      </rPr>
      <t xml:space="preserve">百万円</t>
    </r>
    <r>
      <rPr>
        <sz val="11"/>
        <rFont val="Noto Sans JP"/>
        <family val="0"/>
        <charset val="1"/>
      </rPr>
      <t xml:space="preserve">÷</t>
    </r>
    <r>
      <rPr>
        <sz val="11"/>
        <rFont val="WenQuanYi Zen Hei"/>
        <family val="2"/>
      </rPr>
      <t xml:space="preserve">売上</t>
    </r>
    <r>
      <rPr>
        <sz val="11"/>
        <rFont val="Noto Sans JP"/>
        <family val="0"/>
        <charset val="1"/>
      </rPr>
      <t xml:space="preserve">270</t>
    </r>
    <r>
      <rPr>
        <sz val="11"/>
        <rFont val="WenQuanYi Zen Hei"/>
        <family val="2"/>
      </rPr>
      <t xml:space="preserve">百万円）、最低の製品は機器販売（</t>
    </r>
    <r>
      <rPr>
        <sz val="11"/>
        <rFont val="Noto Sans JP"/>
        <family val="0"/>
        <charset val="1"/>
      </rPr>
      <t xml:space="preserve">7.5%</t>
    </r>
    <r>
      <rPr>
        <sz val="11"/>
        <rFont val="WenQuanYi Zen Hei"/>
        <family val="2"/>
      </rPr>
      <t xml:space="preserve">：売上総利益</t>
    </r>
    <r>
      <rPr>
        <sz val="11"/>
        <rFont val="Noto Sans JP"/>
        <family val="0"/>
        <charset val="1"/>
      </rPr>
      <t xml:space="preserve">9</t>
    </r>
    <r>
      <rPr>
        <sz val="11"/>
        <rFont val="WenQuanYi Zen Hei"/>
        <family val="2"/>
      </rPr>
      <t xml:space="preserve">百万円</t>
    </r>
    <r>
      <rPr>
        <sz val="11"/>
        <rFont val="Noto Sans JP"/>
        <family val="0"/>
        <charset val="1"/>
      </rPr>
      <t xml:space="preserve">÷</t>
    </r>
    <r>
      <rPr>
        <sz val="11"/>
        <rFont val="WenQuanYi Zen Hei"/>
        <family val="2"/>
      </rPr>
      <t xml:space="preserve">売上</t>
    </r>
    <r>
      <rPr>
        <sz val="11"/>
        <rFont val="Noto Sans JP"/>
        <family val="0"/>
        <charset val="1"/>
      </rPr>
      <t xml:space="preserve">120</t>
    </r>
    <r>
      <rPr>
        <sz val="11"/>
        <rFont val="WenQuanYi Zen Hei"/>
        <family val="2"/>
      </rPr>
      <t xml:space="preserve">百万円）です。（出典：スライド</t>
    </r>
    <r>
      <rPr>
        <sz val="11"/>
        <rFont val="Noto Sans JP"/>
        <family val="0"/>
        <charset val="1"/>
      </rPr>
      <t xml:space="preserve">5</t>
    </r>
    <r>
      <rPr>
        <sz val="11"/>
        <rFont val="WenQuanYi Zen Hei"/>
        <family val="2"/>
      </rPr>
      <t xml:space="preserve">「製品別の売上と利益」）</t>
    </r>
  </si>
  <si>
    <t xml:space="preserve">/tmp/out/03-Q08.txt</t>
  </si>
  <si>
    <r>
      <rPr>
        <sz val="11"/>
        <rFont val="Noto Sans JP"/>
        <family val="0"/>
        <charset val="1"/>
      </rPr>
      <t xml:space="preserve">108÷171×100</t>
    </r>
    <r>
      <rPr>
        <sz val="11"/>
        <rFont val="WenQuanYi Zen Hei"/>
        <family val="2"/>
      </rPr>
      <t xml:space="preserve">＝</t>
    </r>
    <r>
      <rPr>
        <sz val="11"/>
        <rFont val="Noto Sans JP"/>
        <family val="0"/>
        <charset val="1"/>
      </rPr>
      <t xml:space="preserve">63.2%</t>
    </r>
    <r>
      <rPr>
        <sz val="11"/>
        <rFont val="WenQuanYi Zen Hei"/>
        <family val="2"/>
      </rPr>
      <t xml:space="preserve">。</t>
    </r>
  </si>
  <si>
    <r>
      <rPr>
        <sz val="11"/>
        <rFont val="WenQuanYi Zen Hei"/>
        <family val="2"/>
      </rPr>
      <t xml:space="preserve">クラウドの売上総利益は</t>
    </r>
    <r>
      <rPr>
        <sz val="11"/>
        <rFont val="Noto Sans JP"/>
        <family val="0"/>
        <charset val="1"/>
      </rPr>
      <t xml:space="preserve">108</t>
    </r>
    <r>
      <rPr>
        <sz val="11"/>
        <rFont val="WenQuanYi Zen Hei"/>
        <family val="2"/>
      </rPr>
      <t xml:space="preserve">百万円で、全体</t>
    </r>
    <r>
      <rPr>
        <sz val="11"/>
        <rFont val="Noto Sans JP"/>
        <family val="0"/>
        <charset val="1"/>
      </rPr>
      <t xml:space="preserve">171</t>
    </r>
    <r>
      <rPr>
        <sz val="11"/>
        <rFont val="WenQuanYi Zen Hei"/>
        <family val="2"/>
      </rPr>
      <t xml:space="preserve">百万円に占める割合は </t>
    </r>
    <r>
      <rPr>
        <sz val="11"/>
        <rFont val="Noto Sans JP"/>
        <family val="0"/>
        <charset val="1"/>
      </rPr>
      <t xml:space="preserve">108 ÷ 171 ≒ 63.2%</t>
    </r>
    <r>
      <rPr>
        <sz val="11"/>
        <rFont val="WenQuanYi Zen Hei"/>
        <family val="2"/>
      </rPr>
      <t xml:space="preserve">です（スライド</t>
    </r>
    <r>
      <rPr>
        <sz val="11"/>
        <rFont val="Noto Sans JP"/>
        <family val="0"/>
        <charset val="1"/>
      </rPr>
      <t xml:space="preserve">5</t>
    </r>
    <r>
      <rPr>
        <sz val="11"/>
        <rFont val="WenQuanYi Zen Hei"/>
        <family val="2"/>
      </rPr>
      <t xml:space="preserve">「製品別の売上と利益」より）。</t>
    </r>
  </si>
  <si>
    <t xml:space="preserve">/tmp/out/03-Q09.txt</t>
  </si>
  <si>
    <r>
      <rPr>
        <sz val="11"/>
        <rFont val="WenQuanYi Zen Hei"/>
        <family val="2"/>
      </rPr>
      <t xml:space="preserve">直販</t>
    </r>
    <r>
      <rPr>
        <sz val="11"/>
        <rFont val="Noto Sans JP"/>
        <family val="0"/>
        <charset val="1"/>
      </rPr>
      <t xml:space="preserve">30%</t>
    </r>
    <r>
      <rPr>
        <sz val="11"/>
        <rFont val="WenQuanYi Zen Hei"/>
        <family val="2"/>
      </rPr>
      <t xml:space="preserve">、パートナー</t>
    </r>
    <r>
      <rPr>
        <sz val="11"/>
        <rFont val="Noto Sans JP"/>
        <family val="0"/>
        <charset val="1"/>
      </rPr>
      <t xml:space="preserve">20%</t>
    </r>
    <r>
      <rPr>
        <sz val="11"/>
        <rFont val="WenQuanYi Zen Hei"/>
        <family val="2"/>
      </rPr>
      <t xml:space="preserve">、</t>
    </r>
    <r>
      <rPr>
        <sz val="11"/>
        <rFont val="Noto Sans JP"/>
        <family val="0"/>
        <charset val="1"/>
      </rPr>
      <t xml:space="preserve">Web</t>
    </r>
    <r>
      <rPr>
        <sz val="11"/>
        <rFont val="WenQuanYi Zen Hei"/>
        <family val="2"/>
      </rPr>
      <t xml:space="preserve">流入</t>
    </r>
    <r>
      <rPr>
        <sz val="11"/>
        <rFont val="Noto Sans JP"/>
        <family val="0"/>
        <charset val="1"/>
      </rPr>
      <t xml:space="preserve">25%</t>
    </r>
    <r>
      <rPr>
        <sz val="11"/>
        <rFont val="WenQuanYi Zen Hei"/>
        <family val="2"/>
      </rPr>
      <t xml:space="preserve">。</t>
    </r>
  </si>
  <si>
    <r>
      <rPr>
        <sz val="11"/>
        <rFont val="WenQuanYi Zen Hei"/>
        <family val="2"/>
      </rPr>
      <t xml:space="preserve">各チャネルの受注率（受注率＝受注数</t>
    </r>
    <r>
      <rPr>
        <sz val="11"/>
        <rFont val="Noto Sans JP"/>
        <family val="0"/>
        <charset val="1"/>
      </rPr>
      <t xml:space="preserve">÷</t>
    </r>
    <r>
      <rPr>
        <sz val="11"/>
        <rFont val="WenQuanYi Zen Hei"/>
        <family val="2"/>
      </rPr>
      <t xml:space="preserve">商談数、上期商談コホート。資料スライド</t>
    </r>
    <r>
      <rPr>
        <sz val="11"/>
        <rFont val="Noto Sans JP"/>
        <family val="0"/>
        <charset val="1"/>
      </rPr>
      <t xml:space="preserve">6</t>
    </r>
    <r>
      <rPr>
        <sz val="11"/>
        <rFont val="WenQuanYi Zen Hei"/>
        <family val="2"/>
      </rPr>
      <t xml:space="preserve">より算出）は以下のとおりです。
</t>
    </r>
    <r>
      <rPr>
        <sz val="11"/>
        <rFont val="Noto Sans JP"/>
        <family val="0"/>
        <charset val="1"/>
      </rPr>
      <t xml:space="preserve">- </t>
    </r>
    <r>
      <rPr>
        <sz val="11"/>
        <rFont val="WenQuanYi Zen Hei"/>
        <family val="2"/>
      </rPr>
      <t xml:space="preserve">直販：</t>
    </r>
    <r>
      <rPr>
        <sz val="11"/>
        <rFont val="Noto Sans JP"/>
        <family val="0"/>
        <charset val="1"/>
      </rPr>
      <t xml:space="preserve">60</t>
    </r>
    <r>
      <rPr>
        <sz val="11"/>
        <rFont val="WenQuanYi Zen Hei"/>
        <family val="2"/>
      </rPr>
      <t xml:space="preserve">件</t>
    </r>
    <r>
      <rPr>
        <sz val="11"/>
        <rFont val="Noto Sans JP"/>
        <family val="0"/>
        <charset val="1"/>
      </rPr>
      <t xml:space="preserve">÷200</t>
    </r>
    <r>
      <rPr>
        <sz val="11"/>
        <rFont val="WenQuanYi Zen Hei"/>
        <family val="2"/>
      </rPr>
      <t xml:space="preserve">件＝</t>
    </r>
    <r>
      <rPr>
        <sz val="11"/>
        <rFont val="Noto Sans JP"/>
        <family val="0"/>
        <charset val="1"/>
      </rPr>
      <t xml:space="preserve">30%
- </t>
    </r>
    <r>
      <rPr>
        <sz val="11"/>
        <rFont val="WenQuanYi Zen Hei"/>
        <family val="2"/>
      </rPr>
      <t xml:space="preserve">パートナー：</t>
    </r>
    <r>
      <rPr>
        <sz val="11"/>
        <rFont val="Noto Sans JP"/>
        <family val="0"/>
        <charset val="1"/>
      </rPr>
      <t xml:space="preserve">30</t>
    </r>
    <r>
      <rPr>
        <sz val="11"/>
        <rFont val="WenQuanYi Zen Hei"/>
        <family val="2"/>
      </rPr>
      <t xml:space="preserve">件</t>
    </r>
    <r>
      <rPr>
        <sz val="11"/>
        <rFont val="Noto Sans JP"/>
        <family val="0"/>
        <charset val="1"/>
      </rPr>
      <t xml:space="preserve">÷150</t>
    </r>
    <r>
      <rPr>
        <sz val="11"/>
        <rFont val="WenQuanYi Zen Hei"/>
        <family val="2"/>
      </rPr>
      <t xml:space="preserve">件＝</t>
    </r>
    <r>
      <rPr>
        <sz val="11"/>
        <rFont val="Noto Sans JP"/>
        <family val="0"/>
        <charset val="1"/>
      </rPr>
      <t xml:space="preserve">20%
- Web</t>
    </r>
    <r>
      <rPr>
        <sz val="11"/>
        <rFont val="WenQuanYi Zen Hei"/>
        <family val="2"/>
      </rPr>
      <t xml:space="preserve">流入：</t>
    </r>
    <r>
      <rPr>
        <sz val="11"/>
        <rFont val="Noto Sans JP"/>
        <family val="0"/>
        <charset val="1"/>
      </rPr>
      <t xml:space="preserve">25</t>
    </r>
    <r>
      <rPr>
        <sz val="11"/>
        <rFont val="WenQuanYi Zen Hei"/>
        <family val="2"/>
      </rPr>
      <t xml:space="preserve">件</t>
    </r>
    <r>
      <rPr>
        <sz val="11"/>
        <rFont val="Noto Sans JP"/>
        <family val="0"/>
        <charset val="1"/>
      </rPr>
      <t xml:space="preserve">÷100</t>
    </r>
    <r>
      <rPr>
        <sz val="11"/>
        <rFont val="WenQuanYi Zen Hei"/>
        <family val="2"/>
      </rPr>
      <t xml:space="preserve">件＝</t>
    </r>
    <r>
      <rPr>
        <sz val="11"/>
        <rFont val="Noto Sans JP"/>
        <family val="0"/>
        <charset val="1"/>
      </rPr>
      <t xml:space="preserve">25%
- </t>
    </r>
    <r>
      <rPr>
        <sz val="11"/>
        <rFont val="WenQuanYi Zen Hei"/>
        <family val="2"/>
      </rPr>
      <t xml:space="preserve">（参考）合計：</t>
    </r>
    <r>
      <rPr>
        <sz val="11"/>
        <rFont val="Noto Sans JP"/>
        <family val="0"/>
        <charset val="1"/>
      </rPr>
      <t xml:space="preserve">115</t>
    </r>
    <r>
      <rPr>
        <sz val="11"/>
        <rFont val="WenQuanYi Zen Hei"/>
        <family val="2"/>
      </rPr>
      <t xml:space="preserve">件</t>
    </r>
    <r>
      <rPr>
        <sz val="11"/>
        <rFont val="Noto Sans JP"/>
        <family val="0"/>
        <charset val="1"/>
      </rPr>
      <t xml:space="preserve">÷450</t>
    </r>
    <r>
      <rPr>
        <sz val="11"/>
        <rFont val="WenQuanYi Zen Hei"/>
        <family val="2"/>
      </rPr>
      <t xml:space="preserve">件＝約</t>
    </r>
    <r>
      <rPr>
        <sz val="11"/>
        <rFont val="Noto Sans JP"/>
        <family val="0"/>
        <charset val="1"/>
      </rPr>
      <t xml:space="preserve">25.6%
</t>
    </r>
    <r>
      <rPr>
        <sz val="11"/>
        <rFont val="WenQuanYi Zen Hei"/>
        <family val="2"/>
      </rPr>
      <t xml:space="preserve">受注率は直販が最も高く、パートナーが最も低くなっています。</t>
    </r>
  </si>
  <si>
    <t xml:space="preserve">/tmp/out/03-Q10.txt</t>
  </si>
  <si>
    <r>
      <rPr>
        <sz val="11"/>
        <rFont val="WenQuanYi Zen Hei"/>
        <family val="2"/>
      </rPr>
      <t xml:space="preserve">パートナー。</t>
    </r>
    <r>
      <rPr>
        <sz val="11"/>
        <rFont val="Noto Sans JP"/>
        <family val="0"/>
        <charset val="1"/>
      </rPr>
      <t xml:space="preserve">150÷30</t>
    </r>
    <r>
      <rPr>
        <sz val="11"/>
        <rFont val="WenQuanYi Zen Hei"/>
        <family val="2"/>
      </rPr>
      <t xml:space="preserve">＝</t>
    </r>
    <r>
      <rPr>
        <sz val="11"/>
        <rFont val="Noto Sans JP"/>
        <family val="0"/>
        <charset val="1"/>
      </rPr>
      <t xml:space="preserve">5</t>
    </r>
    <r>
      <rPr>
        <sz val="11"/>
        <rFont val="WenQuanYi Zen Hei"/>
        <family val="2"/>
      </rPr>
      <t xml:space="preserve">百万円／件。</t>
    </r>
  </si>
  <si>
    <r>
      <rPr>
        <sz val="11"/>
        <rFont val="WenQuanYi Zen Hei"/>
        <family val="2"/>
      </rPr>
      <t xml:space="preserve">受注</t>
    </r>
    <r>
      <rPr>
        <sz val="11"/>
        <rFont val="Noto Sans JP"/>
        <family val="0"/>
        <charset val="1"/>
      </rPr>
      <t xml:space="preserve">1</t>
    </r>
    <r>
      <rPr>
        <sz val="11"/>
        <rFont val="WenQuanYi Zen Hei"/>
        <family val="2"/>
      </rPr>
      <t xml:space="preserve">件当たりの受注額が最大のチャネルはパートナーで、</t>
    </r>
    <r>
      <rPr>
        <sz val="11"/>
        <rFont val="Noto Sans JP"/>
        <family val="0"/>
        <charset val="1"/>
      </rPr>
      <t xml:space="preserve">1</t>
    </r>
    <r>
      <rPr>
        <sz val="11"/>
        <rFont val="WenQuanYi Zen Hei"/>
        <family val="2"/>
      </rPr>
      <t xml:space="preserve">件当たり</t>
    </r>
    <r>
      <rPr>
        <sz val="11"/>
        <rFont val="Noto Sans JP"/>
        <family val="0"/>
        <charset val="1"/>
      </rPr>
      <t xml:space="preserve">5.0</t>
    </r>
    <r>
      <rPr>
        <sz val="11"/>
        <rFont val="WenQuanYi Zen Hei"/>
        <family val="2"/>
      </rPr>
      <t xml:space="preserve">百万円（受注額</t>
    </r>
    <r>
      <rPr>
        <sz val="11"/>
        <rFont val="Noto Sans JP"/>
        <family val="0"/>
        <charset val="1"/>
      </rPr>
      <t xml:space="preserve">150</t>
    </r>
    <r>
      <rPr>
        <sz val="11"/>
        <rFont val="WenQuanYi Zen Hei"/>
        <family val="2"/>
      </rPr>
      <t xml:space="preserve">百万円</t>
    </r>
    <r>
      <rPr>
        <sz val="11"/>
        <rFont val="Noto Sans JP"/>
        <family val="0"/>
        <charset val="1"/>
      </rPr>
      <t xml:space="preserve">÷</t>
    </r>
    <r>
      <rPr>
        <sz val="11"/>
        <rFont val="WenQuanYi Zen Hei"/>
        <family val="2"/>
      </rPr>
      <t xml:space="preserve">受注数</t>
    </r>
    <r>
      <rPr>
        <sz val="11"/>
        <rFont val="Noto Sans JP"/>
        <family val="0"/>
        <charset val="1"/>
      </rPr>
      <t xml:space="preserve">30</t>
    </r>
    <r>
      <rPr>
        <sz val="11"/>
        <rFont val="WenQuanYi Zen Hei"/>
        <family val="2"/>
      </rPr>
      <t xml:space="preserve">件）です。
（参考：直販 </t>
    </r>
    <r>
      <rPr>
        <sz val="11"/>
        <rFont val="Noto Sans JP"/>
        <family val="0"/>
        <charset val="1"/>
      </rPr>
      <t xml:space="preserve">240÷60</t>
    </r>
    <r>
      <rPr>
        <sz val="11"/>
        <rFont val="WenQuanYi Zen Hei"/>
        <family val="2"/>
      </rPr>
      <t xml:space="preserve">＝</t>
    </r>
    <r>
      <rPr>
        <sz val="11"/>
        <rFont val="Noto Sans JP"/>
        <family val="0"/>
        <charset val="1"/>
      </rPr>
      <t xml:space="preserve">4.0</t>
    </r>
    <r>
      <rPr>
        <sz val="11"/>
        <rFont val="WenQuanYi Zen Hei"/>
        <family val="2"/>
      </rPr>
      <t xml:space="preserve">百万円、</t>
    </r>
    <r>
      <rPr>
        <sz val="11"/>
        <rFont val="Noto Sans JP"/>
        <family val="0"/>
        <charset val="1"/>
      </rPr>
      <t xml:space="preserve">Web</t>
    </r>
    <r>
      <rPr>
        <sz val="11"/>
        <rFont val="WenQuanYi Zen Hei"/>
        <family val="2"/>
      </rPr>
      <t xml:space="preserve">流入 </t>
    </r>
    <r>
      <rPr>
        <sz val="11"/>
        <rFont val="Noto Sans JP"/>
        <family val="0"/>
        <charset val="1"/>
      </rPr>
      <t xml:space="preserve">100÷25</t>
    </r>
    <r>
      <rPr>
        <sz val="11"/>
        <rFont val="WenQuanYi Zen Hei"/>
        <family val="2"/>
      </rPr>
      <t xml:space="preserve">＝</t>
    </r>
    <r>
      <rPr>
        <sz val="11"/>
        <rFont val="Noto Sans JP"/>
        <family val="0"/>
        <charset val="1"/>
      </rPr>
      <t xml:space="preserve">4.0</t>
    </r>
    <r>
      <rPr>
        <sz val="11"/>
        <rFont val="WenQuanYi Zen Hei"/>
        <family val="2"/>
      </rPr>
      <t xml:space="preserve">百万円。出典：スライド</t>
    </r>
    <r>
      <rPr>
        <sz val="11"/>
        <rFont val="Noto Sans JP"/>
        <family val="0"/>
        <charset val="1"/>
      </rPr>
      <t xml:space="preserve">6</t>
    </r>
    <r>
      <rPr>
        <sz val="11"/>
        <rFont val="WenQuanYi Zen Hei"/>
        <family val="2"/>
      </rPr>
      <t xml:space="preserve">「チャネル別の成約効率」）</t>
    </r>
  </si>
  <si>
    <t xml:space="preserve">/tmp/out/03-Q11.txt</t>
  </si>
  <si>
    <t xml:space="preserve">できない。受注額と検収基準の売上は異なる指標。</t>
  </si>
  <si>
    <t xml:space="preserve">2,6</t>
  </si>
  <si>
    <r>
      <rPr>
        <sz val="11"/>
        <rFont val="WenQuanYi Zen Hei"/>
        <family val="2"/>
      </rPr>
      <t xml:space="preserve">いいえ、集計ミスとは断定できません。資料は、この差を「別の指標であることによる差」として説明しています。
根拠</t>
    </r>
    <r>
      <rPr>
        <sz val="11"/>
        <rFont val="Noto Sans JP"/>
        <family val="0"/>
        <charset val="1"/>
      </rPr>
      <t xml:space="preserve">:
- </t>
    </r>
    <r>
      <rPr>
        <sz val="11"/>
        <rFont val="WenQuanYi Zen Hei"/>
        <family val="2"/>
      </rPr>
      <t xml:space="preserve">スライド</t>
    </r>
    <r>
      <rPr>
        <sz val="11"/>
        <rFont val="Noto Sans JP"/>
        <family val="0"/>
        <charset val="1"/>
      </rPr>
      <t xml:space="preserve">2</t>
    </r>
    <r>
      <rPr>
        <sz val="11"/>
        <rFont val="WenQuanYi Zen Hei"/>
        <family val="2"/>
      </rPr>
      <t xml:space="preserve">の注記に「売上は検収基準。受注額・入金額とは異なる。」とあります。
</t>
    </r>
    <r>
      <rPr>
        <sz val="11"/>
        <rFont val="Noto Sans JP"/>
        <family val="0"/>
        <charset val="1"/>
      </rPr>
      <t xml:space="preserve">- </t>
    </r>
    <r>
      <rPr>
        <sz val="11"/>
        <rFont val="WenQuanYi Zen Hei"/>
        <family val="2"/>
      </rPr>
      <t xml:space="preserve">スライド</t>
    </r>
    <r>
      <rPr>
        <sz val="11"/>
        <rFont val="Noto Sans JP"/>
        <family val="0"/>
        <charset val="1"/>
      </rPr>
      <t xml:space="preserve">6</t>
    </r>
    <r>
      <rPr>
        <sz val="11"/>
        <rFont val="WenQuanYi Zen Hei"/>
        <family val="2"/>
      </rPr>
      <t xml:space="preserve">の注記に「受注額</t>
    </r>
    <r>
      <rPr>
        <sz val="11"/>
        <rFont val="Noto Sans JP"/>
        <family val="0"/>
        <charset val="1"/>
      </rPr>
      <t xml:space="preserve">490</t>
    </r>
    <r>
      <rPr>
        <sz val="11"/>
        <rFont val="WenQuanYi Zen Hei"/>
        <family val="2"/>
      </rPr>
      <t xml:space="preserve">百万円は売上</t>
    </r>
    <r>
      <rPr>
        <sz val="11"/>
        <rFont val="Noto Sans JP"/>
        <family val="0"/>
        <charset val="1"/>
      </rPr>
      <t xml:space="preserve">570</t>
    </r>
    <r>
      <rPr>
        <sz val="11"/>
        <rFont val="WenQuanYi Zen Hei"/>
        <family val="2"/>
      </rPr>
      <t xml:space="preserve">百万円と別の指標。」とあります。
</t>
    </r>
    <r>
      <rPr>
        <sz val="11"/>
        <rFont val="Noto Sans JP"/>
        <family val="0"/>
        <charset val="1"/>
      </rPr>
      <t xml:space="preserve">- </t>
    </r>
    <r>
      <rPr>
        <sz val="11"/>
        <rFont val="WenQuanYi Zen Hei"/>
        <family val="2"/>
      </rPr>
      <t xml:space="preserve">受注額</t>
    </r>
    <r>
      <rPr>
        <sz val="11"/>
        <rFont val="Noto Sans JP"/>
        <family val="0"/>
        <charset val="1"/>
      </rPr>
      <t xml:space="preserve">490</t>
    </r>
    <r>
      <rPr>
        <sz val="11"/>
        <rFont val="WenQuanYi Zen Hei"/>
        <family val="2"/>
      </rPr>
      <t xml:space="preserve">百万円（スライド</t>
    </r>
    <r>
      <rPr>
        <sz val="11"/>
        <rFont val="Noto Sans JP"/>
        <family val="0"/>
        <charset val="1"/>
      </rPr>
      <t xml:space="preserve">6</t>
    </r>
    <r>
      <rPr>
        <sz val="11"/>
        <rFont val="WenQuanYi Zen Hei"/>
        <family val="2"/>
      </rPr>
      <t xml:space="preserve">）は、上期の商談コホート（商談</t>
    </r>
    <r>
      <rPr>
        <sz val="11"/>
        <rFont val="Noto Sans JP"/>
        <family val="0"/>
        <charset val="1"/>
      </rPr>
      <t xml:space="preserve">450</t>
    </r>
    <r>
      <rPr>
        <sz val="11"/>
        <rFont val="WenQuanYi Zen Hei"/>
        <family val="2"/>
      </rPr>
      <t xml:space="preserve">件、受注</t>
    </r>
    <r>
      <rPr>
        <sz val="11"/>
        <rFont val="Noto Sans JP"/>
        <family val="0"/>
        <charset val="1"/>
      </rPr>
      <t xml:space="preserve">115</t>
    </r>
    <r>
      <rPr>
        <sz val="11"/>
        <rFont val="WenQuanYi Zen Hei"/>
        <family val="2"/>
      </rPr>
      <t xml:space="preserve">件）の受注額です。売上</t>
    </r>
    <r>
      <rPr>
        <sz val="11"/>
        <rFont val="Noto Sans JP"/>
        <family val="0"/>
        <charset val="1"/>
      </rPr>
      <t xml:space="preserve">570</t>
    </r>
    <r>
      <rPr>
        <sz val="11"/>
        <rFont val="WenQuanYi Zen Hei"/>
        <family val="2"/>
      </rPr>
      <t xml:space="preserve">百万円（スライド</t>
    </r>
    <r>
      <rPr>
        <sz val="11"/>
        <rFont val="Noto Sans JP"/>
        <family val="0"/>
        <charset val="1"/>
      </rPr>
      <t xml:space="preserve">2</t>
    </r>
    <r>
      <rPr>
        <sz val="11"/>
        <rFont val="WenQuanYi Zen Hei"/>
        <family val="2"/>
      </rPr>
      <t xml:space="preserve">〜</t>
    </r>
    <r>
      <rPr>
        <sz val="11"/>
        <rFont val="Noto Sans JP"/>
        <family val="0"/>
        <charset val="1"/>
      </rPr>
      <t xml:space="preserve">5</t>
    </r>
    <r>
      <rPr>
        <sz val="11"/>
        <rFont val="WenQuanYi Zen Hei"/>
        <family val="2"/>
      </rPr>
      <t xml:space="preserve">）は、上期に検収した売上です。計上の基準と対象範囲が違います。
</t>
    </r>
    <r>
      <rPr>
        <sz val="11"/>
        <rFont val="Noto Sans JP"/>
        <family val="0"/>
        <charset val="1"/>
      </rPr>
      <t xml:space="preserve">- </t>
    </r>
    <r>
      <rPr>
        <sz val="11"/>
        <rFont val="WenQuanYi Zen Hei"/>
        <family val="2"/>
      </rPr>
      <t xml:space="preserve">売上の合計</t>
    </r>
    <r>
      <rPr>
        <sz val="11"/>
        <rFont val="Noto Sans JP"/>
        <family val="0"/>
        <charset val="1"/>
      </rPr>
      <t xml:space="preserve">570</t>
    </r>
    <r>
      <rPr>
        <sz val="11"/>
        <rFont val="WenQuanYi Zen Hei"/>
        <family val="2"/>
      </rPr>
      <t xml:space="preserve">百万円は、地域別（</t>
    </r>
    <r>
      <rPr>
        <sz val="11"/>
        <rFont val="Noto Sans JP"/>
        <family val="0"/>
        <charset val="1"/>
      </rPr>
      <t xml:space="preserve">315</t>
    </r>
    <r>
      <rPr>
        <sz val="11"/>
        <rFont val="WenQuanYi Zen Hei"/>
        <family val="2"/>
      </rPr>
      <t xml:space="preserve">＋</t>
    </r>
    <r>
      <rPr>
        <sz val="11"/>
        <rFont val="Noto Sans JP"/>
        <family val="0"/>
        <charset val="1"/>
      </rPr>
      <t xml:space="preserve">170</t>
    </r>
    <r>
      <rPr>
        <sz val="11"/>
        <rFont val="WenQuanYi Zen Hei"/>
        <family val="2"/>
      </rPr>
      <t xml:space="preserve">＋</t>
    </r>
    <r>
      <rPr>
        <sz val="11"/>
        <rFont val="Noto Sans JP"/>
        <family val="0"/>
        <charset val="1"/>
      </rPr>
      <t xml:space="preserve">85</t>
    </r>
    <r>
      <rPr>
        <sz val="11"/>
        <rFont val="WenQuanYi Zen Hei"/>
        <family val="2"/>
      </rPr>
      <t xml:space="preserve">）、月別（</t>
    </r>
    <r>
      <rPr>
        <sz val="11"/>
        <rFont val="Noto Sans JP"/>
        <family val="0"/>
        <charset val="1"/>
      </rPr>
      <t xml:space="preserve">70</t>
    </r>
    <r>
      <rPr>
        <sz val="11"/>
        <rFont val="WenQuanYi Zen Hei"/>
        <family val="2"/>
      </rPr>
      <t xml:space="preserve">〜</t>
    </r>
    <r>
      <rPr>
        <sz val="11"/>
        <rFont val="Noto Sans JP"/>
        <family val="0"/>
        <charset val="1"/>
      </rPr>
      <t xml:space="preserve">120</t>
    </r>
    <r>
      <rPr>
        <sz val="11"/>
        <rFont val="WenQuanYi Zen Hei"/>
        <family val="2"/>
      </rPr>
      <t xml:space="preserve">の合計）、製品別（</t>
    </r>
    <r>
      <rPr>
        <sz val="11"/>
        <rFont val="Noto Sans JP"/>
        <family val="0"/>
        <charset val="1"/>
      </rPr>
      <t xml:space="preserve">270</t>
    </r>
    <r>
      <rPr>
        <sz val="11"/>
        <rFont val="WenQuanYi Zen Hei"/>
        <family val="2"/>
      </rPr>
      <t xml:space="preserve">＋</t>
    </r>
    <r>
      <rPr>
        <sz val="11"/>
        <rFont val="Noto Sans JP"/>
        <family val="0"/>
        <charset val="1"/>
      </rPr>
      <t xml:space="preserve">180</t>
    </r>
    <r>
      <rPr>
        <sz val="11"/>
        <rFont val="WenQuanYi Zen Hei"/>
        <family val="2"/>
      </rPr>
      <t xml:space="preserve">＋</t>
    </r>
    <r>
      <rPr>
        <sz val="11"/>
        <rFont val="Noto Sans JP"/>
        <family val="0"/>
        <charset val="1"/>
      </rPr>
      <t xml:space="preserve">120</t>
    </r>
    <r>
      <rPr>
        <sz val="11"/>
        <rFont val="WenQuanYi Zen Hei"/>
        <family val="2"/>
      </rPr>
      <t xml:space="preserve">）のどれで足しても一致します。受注額の合計</t>
    </r>
    <r>
      <rPr>
        <sz val="11"/>
        <rFont val="Noto Sans JP"/>
        <family val="0"/>
        <charset val="1"/>
      </rPr>
      <t xml:space="preserve">490</t>
    </r>
    <r>
      <rPr>
        <sz val="11"/>
        <rFont val="WenQuanYi Zen Hei"/>
        <family val="2"/>
      </rPr>
      <t xml:space="preserve">百万円も、チャネル別（</t>
    </r>
    <r>
      <rPr>
        <sz val="11"/>
        <rFont val="Noto Sans JP"/>
        <family val="0"/>
        <charset val="1"/>
      </rPr>
      <t xml:space="preserve">240</t>
    </r>
    <r>
      <rPr>
        <sz val="11"/>
        <rFont val="WenQuanYi Zen Hei"/>
        <family val="2"/>
      </rPr>
      <t xml:space="preserve">＋</t>
    </r>
    <r>
      <rPr>
        <sz val="11"/>
        <rFont val="Noto Sans JP"/>
        <family val="0"/>
        <charset val="1"/>
      </rPr>
      <t xml:space="preserve">150</t>
    </r>
    <r>
      <rPr>
        <sz val="11"/>
        <rFont val="WenQuanYi Zen Hei"/>
        <family val="2"/>
      </rPr>
      <t xml:space="preserve">＋</t>
    </r>
    <r>
      <rPr>
        <sz val="11"/>
        <rFont val="Noto Sans JP"/>
        <family val="0"/>
        <charset val="1"/>
      </rPr>
      <t xml:space="preserve">100</t>
    </r>
    <r>
      <rPr>
        <sz val="11"/>
        <rFont val="WenQuanYi Zen Hei"/>
        <family val="2"/>
      </rPr>
      <t xml:space="preserve">）の合計と一致します。どちらの表にも、集計の誤りは見当たりません。
補足</t>
    </r>
    <r>
      <rPr>
        <sz val="11"/>
        <rFont val="Noto Sans JP"/>
        <family val="0"/>
        <charset val="1"/>
      </rPr>
      <t xml:space="preserve">:
</t>
    </r>
    <r>
      <rPr>
        <sz val="11"/>
        <rFont val="WenQuanYi Zen Hei"/>
        <family val="2"/>
      </rPr>
      <t xml:space="preserve">資料には、受注額と売上をつなぐ明細がありません。たとえば、前期以前に受注して上期に検収した分や、上期に受注してまだ検収していない分です。そのため、</t>
    </r>
    <r>
      <rPr>
        <sz val="11"/>
        <rFont val="Noto Sans JP"/>
        <family val="0"/>
        <charset val="1"/>
      </rPr>
      <t xml:space="preserve">80</t>
    </r>
    <r>
      <rPr>
        <sz val="11"/>
        <rFont val="WenQuanYi Zen Hei"/>
        <family val="2"/>
      </rPr>
      <t xml:space="preserve">百万円の差の内訳はこの資料からは確かめられません。「集計ミスではない」と証明することもできません。言えるのは、資料の説明では別の指標どうしの差とされていて、集計ミスと判断する根拠はない、ということです。スライド</t>
    </r>
    <r>
      <rPr>
        <sz val="11"/>
        <rFont val="Noto Sans JP"/>
        <family val="0"/>
        <charset val="1"/>
      </rPr>
      <t xml:space="preserve">10</t>
    </r>
    <r>
      <rPr>
        <sz val="11"/>
        <rFont val="WenQuanYi Zen Hei"/>
        <family val="2"/>
      </rPr>
      <t xml:space="preserve">にも「受注見込と検収月の対応を再確認する」とあり、受注と検収の時期の対応はまだ整理されていません。</t>
    </r>
  </si>
  <si>
    <t xml:space="preserve">/tmp/out/03-Q12.txt</t>
  </si>
  <si>
    <r>
      <rPr>
        <sz val="11"/>
        <rFont val="Noto Sans JP"/>
        <family val="0"/>
        <charset val="1"/>
      </rPr>
      <t xml:space="preserve">(40</t>
    </r>
    <r>
      <rPr>
        <sz val="11"/>
        <rFont val="WenQuanYi Zen Hei"/>
        <family val="2"/>
      </rPr>
      <t xml:space="preserve">＋</t>
    </r>
    <r>
      <rPr>
        <sz val="11"/>
        <rFont val="Noto Sans JP"/>
        <family val="0"/>
        <charset val="1"/>
      </rPr>
      <t xml:space="preserve">25)÷100×100</t>
    </r>
    <r>
      <rPr>
        <sz val="11"/>
        <rFont val="WenQuanYi Zen Hei"/>
        <family val="2"/>
      </rPr>
      <t xml:space="preserve">＝</t>
    </r>
    <r>
      <rPr>
        <sz val="11"/>
        <rFont val="Noto Sans JP"/>
        <family val="0"/>
        <charset val="1"/>
      </rPr>
      <t xml:space="preserve">65%</t>
    </r>
    <r>
      <rPr>
        <sz val="11"/>
        <rFont val="WenQuanYi Zen Hei"/>
        <family val="2"/>
      </rPr>
      <t xml:space="preserve">。</t>
    </r>
  </si>
  <si>
    <r>
      <rPr>
        <sz val="11"/>
        <rFont val="WenQuanYi Zen Hei"/>
        <family val="2"/>
      </rPr>
      <t xml:space="preserve">価格（</t>
    </r>
    <r>
      <rPr>
        <sz val="11"/>
        <rFont val="Noto Sans JP"/>
        <family val="0"/>
        <charset val="1"/>
      </rPr>
      <t xml:space="preserve">40</t>
    </r>
    <r>
      <rPr>
        <sz val="11"/>
        <rFont val="WenQuanYi Zen Hei"/>
        <family val="2"/>
      </rPr>
      <t xml:space="preserve">件）と機能不足（</t>
    </r>
    <r>
      <rPr>
        <sz val="11"/>
        <rFont val="Noto Sans JP"/>
        <family val="0"/>
        <charset val="1"/>
      </rPr>
      <t xml:space="preserve">25</t>
    </r>
    <r>
      <rPr>
        <sz val="11"/>
        <rFont val="WenQuanYi Zen Hei"/>
        <family val="2"/>
      </rPr>
      <t xml:space="preserve">件）を合わせて</t>
    </r>
    <r>
      <rPr>
        <sz val="11"/>
        <rFont val="Noto Sans JP"/>
        <family val="0"/>
        <charset val="1"/>
      </rPr>
      <t xml:space="preserve">65</t>
    </r>
    <r>
      <rPr>
        <sz val="11"/>
        <rFont val="WenQuanYi Zen Hei"/>
        <family val="2"/>
      </rPr>
      <t xml:space="preserve">件で、分析対象の失注</t>
    </r>
    <r>
      <rPr>
        <sz val="11"/>
        <rFont val="Noto Sans JP"/>
        <family val="0"/>
        <charset val="1"/>
      </rPr>
      <t xml:space="preserve">100</t>
    </r>
    <r>
      <rPr>
        <sz val="11"/>
        <rFont val="WenQuanYi Zen Hei"/>
        <family val="2"/>
      </rPr>
      <t xml:space="preserve">件の</t>
    </r>
    <r>
      <rPr>
        <sz val="11"/>
        <rFont val="Noto Sans JP"/>
        <family val="0"/>
        <charset val="1"/>
      </rPr>
      <t xml:space="preserve">65%</t>
    </r>
    <r>
      <rPr>
        <sz val="11"/>
        <rFont val="WenQuanYi Zen Hei"/>
        <family val="2"/>
      </rPr>
      <t xml:space="preserve">です（価格</t>
    </r>
    <r>
      <rPr>
        <sz val="11"/>
        <rFont val="Noto Sans JP"/>
        <family val="0"/>
        <charset val="1"/>
      </rPr>
      <t xml:space="preserve">40%</t>
    </r>
    <r>
      <rPr>
        <sz val="11"/>
        <rFont val="WenQuanYi Zen Hei"/>
        <family val="2"/>
      </rPr>
      <t xml:space="preserve">、機能不足</t>
    </r>
    <r>
      <rPr>
        <sz val="11"/>
        <rFont val="Noto Sans JP"/>
        <family val="0"/>
        <charset val="1"/>
      </rPr>
      <t xml:space="preserve">25%</t>
    </r>
    <r>
      <rPr>
        <sz val="11"/>
        <rFont val="WenQuanYi Zen Hei"/>
        <family val="2"/>
      </rPr>
      <t xml:space="preserve">）。なお、対象は自由記述のうち理由を特定できた</t>
    </r>
    <r>
      <rPr>
        <sz val="11"/>
        <rFont val="Noto Sans JP"/>
        <family val="0"/>
        <charset val="1"/>
      </rPr>
      <t xml:space="preserve">100</t>
    </r>
    <r>
      <rPr>
        <sz val="11"/>
        <rFont val="WenQuanYi Zen Hei"/>
        <family val="2"/>
      </rPr>
      <t xml:space="preserve">件で、全未受注商談を表すものではありません。</t>
    </r>
  </si>
  <si>
    <t xml:space="preserve">/tmp/out/03-Q13.txt</t>
  </si>
  <si>
    <r>
      <rPr>
        <sz val="11"/>
        <rFont val="WenQuanYi Zen Hei"/>
        <family val="2"/>
      </rPr>
      <t xml:space="preserve">していない。理由を特定できた失注</t>
    </r>
    <r>
      <rPr>
        <sz val="11"/>
        <rFont val="Noto Sans JP"/>
        <family val="0"/>
        <charset val="1"/>
      </rPr>
      <t xml:space="preserve">100</t>
    </r>
    <r>
      <rPr>
        <sz val="11"/>
        <rFont val="WenQuanYi Zen Hei"/>
        <family val="2"/>
      </rPr>
      <t xml:space="preserve">件のみ。</t>
    </r>
  </si>
  <si>
    <r>
      <rPr>
        <sz val="11"/>
        <rFont val="WenQuanYi Zen Hei"/>
        <family val="2"/>
      </rPr>
      <t xml:space="preserve">いいえ、網羅していません。
スライド</t>
    </r>
    <r>
      <rPr>
        <sz val="11"/>
        <rFont val="Noto Sans JP"/>
        <family val="0"/>
        <charset val="1"/>
      </rPr>
      <t xml:space="preserve">7</t>
    </r>
    <r>
      <rPr>
        <sz val="11"/>
        <rFont val="WenQuanYi Zen Hei"/>
        <family val="2"/>
      </rPr>
      <t xml:space="preserve">の注記に「自由記述のうち理由を特定できた</t>
    </r>
    <r>
      <rPr>
        <sz val="11"/>
        <rFont val="Noto Sans JP"/>
        <family val="0"/>
        <charset val="1"/>
      </rPr>
      <t xml:space="preserve">100</t>
    </r>
    <r>
      <rPr>
        <sz val="11"/>
        <rFont val="WenQuanYi Zen Hei"/>
        <family val="2"/>
      </rPr>
      <t xml:space="preserve">件が対象。全未受注商談を表すものではない。」と明記されています。分析対象は、上期の失注のうち自由記述から理由を特定できた</t>
    </r>
    <r>
      <rPr>
        <sz val="11"/>
        <rFont val="Noto Sans JP"/>
        <family val="0"/>
        <charset val="1"/>
      </rPr>
      <t xml:space="preserve">100</t>
    </r>
    <r>
      <rPr>
        <sz val="11"/>
        <rFont val="WenQuanYi Zen Hei"/>
        <family val="2"/>
      </rPr>
      <t xml:space="preserve">件だけです（主因を</t>
    </r>
    <r>
      <rPr>
        <sz val="11"/>
        <rFont val="Noto Sans JP"/>
        <family val="0"/>
        <charset val="1"/>
      </rPr>
      <t xml:space="preserve">1</t>
    </r>
    <r>
      <rPr>
        <sz val="11"/>
        <rFont val="WenQuanYi Zen Hei"/>
        <family val="2"/>
      </rPr>
      <t xml:space="preserve">つずつ分類：価格</t>
    </r>
    <r>
      <rPr>
        <sz val="11"/>
        <rFont val="Noto Sans JP"/>
        <family val="0"/>
        <charset val="1"/>
      </rPr>
      <t xml:space="preserve">40</t>
    </r>
    <r>
      <rPr>
        <sz val="11"/>
        <rFont val="WenQuanYi Zen Hei"/>
        <family val="2"/>
      </rPr>
      <t xml:space="preserve">件、機能不足</t>
    </r>
    <r>
      <rPr>
        <sz val="11"/>
        <rFont val="Noto Sans JP"/>
        <family val="0"/>
        <charset val="1"/>
      </rPr>
      <t xml:space="preserve">25</t>
    </r>
    <r>
      <rPr>
        <sz val="11"/>
        <rFont val="WenQuanYi Zen Hei"/>
        <family val="2"/>
      </rPr>
      <t xml:space="preserve">件、導入時期</t>
    </r>
    <r>
      <rPr>
        <sz val="11"/>
        <rFont val="Noto Sans JP"/>
        <family val="0"/>
        <charset val="1"/>
      </rPr>
      <t xml:space="preserve">20</t>
    </r>
    <r>
      <rPr>
        <sz val="11"/>
        <rFont val="WenQuanYi Zen Hei"/>
        <family val="2"/>
      </rPr>
      <t xml:space="preserve">件、競合との既存契約</t>
    </r>
    <r>
      <rPr>
        <sz val="11"/>
        <rFont val="Noto Sans JP"/>
        <family val="0"/>
        <charset val="1"/>
      </rPr>
      <t xml:space="preserve">15</t>
    </r>
    <r>
      <rPr>
        <sz val="11"/>
        <rFont val="WenQuanYi Zen Hei"/>
        <family val="2"/>
      </rPr>
      <t xml:space="preserve">件）。
参考として、スライド</t>
    </r>
    <r>
      <rPr>
        <sz val="11"/>
        <rFont val="Noto Sans JP"/>
        <family val="0"/>
        <charset val="1"/>
      </rPr>
      <t xml:space="preserve">6</t>
    </r>
    <r>
      <rPr>
        <sz val="11"/>
        <rFont val="WenQuanYi Zen Hei"/>
        <family val="2"/>
      </rPr>
      <t xml:space="preserve">の上期商談コホートは商談</t>
    </r>
    <r>
      <rPr>
        <sz val="11"/>
        <rFont val="Noto Sans JP"/>
        <family val="0"/>
        <charset val="1"/>
      </rPr>
      <t xml:space="preserve">450</t>
    </r>
    <r>
      <rPr>
        <sz val="11"/>
        <rFont val="WenQuanYi Zen Hei"/>
        <family val="2"/>
      </rPr>
      <t xml:space="preserve">件・受注</t>
    </r>
    <r>
      <rPr>
        <sz val="11"/>
        <rFont val="Noto Sans JP"/>
        <family val="0"/>
        <charset val="1"/>
      </rPr>
      <t xml:space="preserve">115</t>
    </r>
    <r>
      <rPr>
        <sz val="11"/>
        <rFont val="WenQuanYi Zen Hei"/>
        <family val="2"/>
      </rPr>
      <t xml:space="preserve">件なので、受注に至っていない商談は</t>
    </r>
    <r>
      <rPr>
        <sz val="11"/>
        <rFont val="Noto Sans JP"/>
        <family val="0"/>
        <charset val="1"/>
      </rPr>
      <t xml:space="preserve">450 − 115 </t>
    </r>
    <r>
      <rPr>
        <sz val="11"/>
        <rFont val="WenQuanYi Zen Hei"/>
        <family val="2"/>
      </rPr>
      <t xml:space="preserve">＝ </t>
    </r>
    <r>
      <rPr>
        <sz val="11"/>
        <rFont val="Noto Sans JP"/>
        <family val="0"/>
        <charset val="1"/>
      </rPr>
      <t xml:space="preserve">335</t>
    </r>
    <r>
      <rPr>
        <sz val="11"/>
        <rFont val="WenQuanYi Zen Hei"/>
        <family val="2"/>
      </rPr>
      <t xml:space="preserve">件です。</t>
    </r>
    <r>
      <rPr>
        <sz val="11"/>
        <rFont val="Noto Sans JP"/>
        <family val="0"/>
        <charset val="1"/>
      </rPr>
      <t xml:space="preserve">100</t>
    </r>
    <r>
      <rPr>
        <sz val="11"/>
        <rFont val="WenQuanYi Zen Hei"/>
        <family val="2"/>
      </rPr>
      <t xml:space="preserve">件はその一部にすぎません。ただし、</t>
    </r>
    <r>
      <rPr>
        <sz val="11"/>
        <rFont val="Noto Sans JP"/>
        <family val="0"/>
        <charset val="1"/>
      </rPr>
      <t xml:space="preserve">335</t>
    </r>
    <r>
      <rPr>
        <sz val="11"/>
        <rFont val="WenQuanYi Zen Hei"/>
        <family val="2"/>
      </rPr>
      <t xml:space="preserve">件には継続中の商談が含まれる可能性があり、正式な失注件数や、</t>
    </r>
    <r>
      <rPr>
        <sz val="11"/>
        <rFont val="Noto Sans JP"/>
        <family val="0"/>
        <charset val="1"/>
      </rPr>
      <t xml:space="preserve">100</t>
    </r>
    <r>
      <rPr>
        <sz val="11"/>
        <rFont val="WenQuanYi Zen Hei"/>
        <family val="2"/>
      </rPr>
      <t xml:space="preserve">件が同じコホートから抽出されたかどうかは資料に書かれていません。このため、失注理由の構成比（価格</t>
    </r>
    <r>
      <rPr>
        <sz val="11"/>
        <rFont val="Noto Sans JP"/>
        <family val="0"/>
        <charset val="1"/>
      </rPr>
      <t xml:space="preserve">40%</t>
    </r>
    <r>
      <rPr>
        <sz val="11"/>
        <rFont val="WenQuanYi Zen Hei"/>
        <family val="2"/>
      </rPr>
      <t xml:space="preserve">など）を未受注商談全体の傾向とみなすことはできません。</t>
    </r>
  </si>
  <si>
    <t xml:space="preserve">/tmp/out/03-Q14.txt</t>
  </si>
  <si>
    <r>
      <rPr>
        <sz val="11"/>
        <rFont val="Noto Sans JP"/>
        <family val="0"/>
        <charset val="1"/>
      </rPr>
      <t xml:space="preserve">250×50%</t>
    </r>
    <r>
      <rPr>
        <sz val="11"/>
        <rFont val="WenQuanYi Zen Hei"/>
        <family val="2"/>
      </rPr>
      <t xml:space="preserve">＝</t>
    </r>
    <r>
      <rPr>
        <sz val="11"/>
        <rFont val="Noto Sans JP"/>
        <family val="0"/>
        <charset val="1"/>
      </rPr>
      <t xml:space="preserve">125</t>
    </r>
    <r>
      <rPr>
        <sz val="11"/>
        <rFont val="WenQuanYi Zen Hei"/>
        <family val="2"/>
      </rPr>
      <t xml:space="preserve">百万円。</t>
    </r>
  </si>
  <si>
    <r>
      <rPr>
        <sz val="11"/>
        <rFont val="WenQuanYi Zen Hei"/>
        <family val="2"/>
      </rPr>
      <t xml:space="preserve">提案中案件の加重見込額は</t>
    </r>
    <r>
      <rPr>
        <sz val="11"/>
        <rFont val="Noto Sans JP"/>
        <family val="0"/>
        <charset val="1"/>
      </rPr>
      <t xml:space="preserve">125</t>
    </r>
    <r>
      <rPr>
        <sz val="11"/>
        <rFont val="WenQuanYi Zen Hei"/>
        <family val="2"/>
      </rPr>
      <t xml:space="preserve">百万円です。
計算：案件総額</t>
    </r>
    <r>
      <rPr>
        <sz val="11"/>
        <rFont val="Noto Sans JP"/>
        <family val="0"/>
        <charset val="1"/>
      </rPr>
      <t xml:space="preserve">250</t>
    </r>
    <r>
      <rPr>
        <sz val="11"/>
        <rFont val="WenQuanYi Zen Hei"/>
        <family val="2"/>
      </rPr>
      <t xml:space="preserve">百万円 </t>
    </r>
    <r>
      <rPr>
        <sz val="11"/>
        <rFont val="Noto Sans JP"/>
        <family val="0"/>
        <charset val="1"/>
      </rPr>
      <t xml:space="preserve">× </t>
    </r>
    <r>
      <rPr>
        <sz val="11"/>
        <rFont val="WenQuanYi Zen Hei"/>
        <family val="2"/>
      </rPr>
      <t xml:space="preserve">受注確度</t>
    </r>
    <r>
      <rPr>
        <sz val="11"/>
        <rFont val="Noto Sans JP"/>
        <family val="0"/>
        <charset val="1"/>
      </rPr>
      <t xml:space="preserve">50% = 125</t>
    </r>
    <r>
      <rPr>
        <sz val="11"/>
        <rFont val="WenQuanYi Zen Hei"/>
        <family val="2"/>
      </rPr>
      <t xml:space="preserve">百万円
（出典：スライド</t>
    </r>
    <r>
      <rPr>
        <sz val="11"/>
        <rFont val="Noto Sans JP"/>
        <family val="0"/>
        <charset val="1"/>
      </rPr>
      <t xml:space="preserve">8</t>
    </r>
    <r>
      <rPr>
        <sz val="11"/>
        <rFont val="WenQuanYi Zen Hei"/>
        <family val="2"/>
      </rPr>
      <t xml:space="preserve">「下期パイプラインの加重見込額」。なお、加重見込額は受注額の推計であり、下期売上への転換時期は未整理と注記されています。）</t>
    </r>
  </si>
  <si>
    <t xml:space="preserve">/tmp/out/03-Q15.txt</t>
  </si>
  <si>
    <r>
      <rPr>
        <sz val="11"/>
        <rFont val="WenQuanYi Zen Hei"/>
        <family val="2"/>
      </rPr>
      <t xml:space="preserve">提案中、</t>
    </r>
    <r>
      <rPr>
        <sz val="11"/>
        <rFont val="Noto Sans JP"/>
        <family val="0"/>
        <charset val="1"/>
      </rPr>
      <t xml:space="preserve">125</t>
    </r>
    <r>
      <rPr>
        <sz val="11"/>
        <rFont val="WenQuanYi Zen Hei"/>
        <family val="2"/>
      </rPr>
      <t xml:space="preserve">百万円。</t>
    </r>
  </si>
  <si>
    <r>
      <rPr>
        <sz val="11"/>
        <rFont val="WenQuanYi Zen Hei"/>
        <family val="2"/>
      </rPr>
      <t xml:space="preserve">加重見込額が最大の段階は「提案中」で、</t>
    </r>
    <r>
      <rPr>
        <sz val="11"/>
        <rFont val="Noto Sans JP"/>
        <family val="0"/>
        <charset val="1"/>
      </rPr>
      <t xml:space="preserve">125</t>
    </r>
    <r>
      <rPr>
        <sz val="11"/>
        <rFont val="WenQuanYi Zen Hei"/>
        <family val="2"/>
      </rPr>
      <t xml:space="preserve">百万円です（案件総額</t>
    </r>
    <r>
      <rPr>
        <sz val="11"/>
        <rFont val="Noto Sans JP"/>
        <family val="0"/>
        <charset val="1"/>
      </rPr>
      <t xml:space="preserve">250</t>
    </r>
    <r>
      <rPr>
        <sz val="11"/>
        <rFont val="WenQuanYi Zen Hei"/>
        <family val="2"/>
      </rPr>
      <t xml:space="preserve">百万円</t>
    </r>
    <r>
      <rPr>
        <sz val="11"/>
        <rFont val="Noto Sans JP"/>
        <family val="0"/>
        <charset val="1"/>
      </rPr>
      <t xml:space="preserve">×</t>
    </r>
    <r>
      <rPr>
        <sz val="11"/>
        <rFont val="WenQuanYi Zen Hei"/>
        <family val="2"/>
      </rPr>
      <t xml:space="preserve">受注確度</t>
    </r>
    <r>
      <rPr>
        <sz val="11"/>
        <rFont val="Noto Sans JP"/>
        <family val="0"/>
        <charset val="1"/>
      </rPr>
      <t xml:space="preserve">50%</t>
    </r>
    <r>
      <rPr>
        <sz val="11"/>
        <rFont val="WenQuanYi Zen Hei"/>
        <family val="2"/>
      </rPr>
      <t xml:space="preserve">）。次いで最終交渉が</t>
    </r>
    <r>
      <rPr>
        <sz val="11"/>
        <rFont val="Noto Sans JP"/>
        <family val="0"/>
        <charset val="1"/>
      </rPr>
      <t xml:space="preserve">120</t>
    </r>
    <r>
      <rPr>
        <sz val="11"/>
        <rFont val="WenQuanYi Zen Hei"/>
        <family val="2"/>
      </rPr>
      <t xml:space="preserve">百万円、初期相談が</t>
    </r>
    <r>
      <rPr>
        <sz val="11"/>
        <rFont val="Noto Sans JP"/>
        <family val="0"/>
        <charset val="1"/>
      </rPr>
      <t xml:space="preserve">60</t>
    </r>
    <r>
      <rPr>
        <sz val="11"/>
        <rFont val="WenQuanYi Zen Hei"/>
        <family val="2"/>
      </rPr>
      <t xml:space="preserve">百万円です（スライド</t>
    </r>
    <r>
      <rPr>
        <sz val="11"/>
        <rFont val="Noto Sans JP"/>
        <family val="0"/>
        <charset val="1"/>
      </rPr>
      <t xml:space="preserve">8</t>
    </r>
    <r>
      <rPr>
        <sz val="11"/>
        <rFont val="WenQuanYi Zen Hei"/>
        <family val="2"/>
      </rPr>
      <t xml:space="preserve">）。</t>
    </r>
  </si>
  <si>
    <t xml:space="preserve">/tmp/out/03-Q16.txt</t>
  </si>
  <si>
    <r>
      <rPr>
        <sz val="11"/>
        <rFont val="WenQuanYi Zen Hei"/>
        <family val="2"/>
      </rPr>
      <t xml:space="preserve">できない。</t>
    </r>
    <r>
      <rPr>
        <sz val="11"/>
        <rFont val="Noto Sans JP"/>
        <family val="0"/>
        <charset val="1"/>
      </rPr>
      <t xml:space="preserve">305</t>
    </r>
    <r>
      <rPr>
        <sz val="11"/>
        <rFont val="WenQuanYi Zen Hei"/>
        <family val="2"/>
      </rPr>
      <t xml:space="preserve">は受注額推計で、下期売上への転換時期が未整理。</t>
    </r>
  </si>
  <si>
    <r>
      <rPr>
        <sz val="11"/>
        <rFont val="WenQuanYi Zen Hei"/>
        <family val="2"/>
      </rPr>
      <t xml:space="preserve">いいえ、断定できません。
</t>
    </r>
    <r>
      <rPr>
        <sz val="11"/>
        <rFont val="Noto Sans JP"/>
        <family val="0"/>
        <charset val="1"/>
      </rPr>
      <t xml:space="preserve">660 − 305 = 355</t>
    </r>
    <r>
      <rPr>
        <sz val="11"/>
        <rFont val="WenQuanYi Zen Hei"/>
        <family val="2"/>
      </rPr>
      <t xml:space="preserve">百万円という計算はできますが、この</t>
    </r>
    <r>
      <rPr>
        <sz val="11"/>
        <rFont val="Noto Sans JP"/>
        <family val="0"/>
        <charset val="1"/>
      </rPr>
      <t xml:space="preserve">355</t>
    </r>
    <r>
      <rPr>
        <sz val="11"/>
        <rFont val="WenQuanYi Zen Hei"/>
        <family val="2"/>
      </rPr>
      <t xml:space="preserve">百万円を「下期の売上不足額」とは言えません。理由は次の</t>
    </r>
    <r>
      <rPr>
        <sz val="11"/>
        <rFont val="Noto Sans JP"/>
        <family val="0"/>
        <charset val="1"/>
      </rPr>
      <t xml:space="preserve">3</t>
    </r>
    <r>
      <rPr>
        <sz val="11"/>
        <rFont val="WenQuanYi Zen Hei"/>
        <family val="2"/>
      </rPr>
      <t xml:space="preserve">点です。
</t>
    </r>
    <r>
      <rPr>
        <sz val="11"/>
        <rFont val="Noto Sans JP"/>
        <family val="0"/>
        <charset val="1"/>
      </rPr>
      <t xml:space="preserve">1. </t>
    </r>
    <r>
      <rPr>
        <sz val="11"/>
        <rFont val="WenQuanYi Zen Hei"/>
        <family val="2"/>
      </rPr>
      <t xml:space="preserve">指標が違います。加重見込額</t>
    </r>
    <r>
      <rPr>
        <sz val="11"/>
        <rFont val="Noto Sans JP"/>
        <family val="0"/>
        <charset val="1"/>
      </rPr>
      <t xml:space="preserve">305</t>
    </r>
    <r>
      <rPr>
        <sz val="11"/>
        <rFont val="WenQuanYi Zen Hei"/>
        <family val="2"/>
      </rPr>
      <t xml:space="preserve">百万円は「受注額の推計」です（スライド</t>
    </r>
    <r>
      <rPr>
        <sz val="11"/>
        <rFont val="Noto Sans JP"/>
        <family val="0"/>
        <charset val="1"/>
      </rPr>
      <t xml:space="preserve">8</t>
    </r>
    <r>
      <rPr>
        <sz val="11"/>
        <rFont val="WenQuanYi Zen Hei"/>
        <family val="2"/>
      </rPr>
      <t xml:space="preserve">注記）。一方、下期売上目標</t>
    </r>
    <r>
      <rPr>
        <sz val="11"/>
        <rFont val="Noto Sans JP"/>
        <family val="0"/>
        <charset val="1"/>
      </rPr>
      <t xml:space="preserve">660</t>
    </r>
    <r>
      <rPr>
        <sz val="11"/>
        <rFont val="WenQuanYi Zen Hei"/>
        <family val="2"/>
      </rPr>
      <t xml:space="preserve">百万円は検収基準の売上です（スライド</t>
    </r>
    <r>
      <rPr>
        <sz val="11"/>
        <rFont val="Noto Sans JP"/>
        <family val="0"/>
        <charset val="1"/>
      </rPr>
      <t xml:space="preserve">2</t>
    </r>
    <r>
      <rPr>
        <sz val="11"/>
        <rFont val="WenQuanYi Zen Hei"/>
        <family val="2"/>
      </rPr>
      <t xml:space="preserve">注記「売上は検収基準。受注額・入金額とは異なる」）。上期を見ても、受注額</t>
    </r>
    <r>
      <rPr>
        <sz val="11"/>
        <rFont val="Noto Sans JP"/>
        <family val="0"/>
        <charset val="1"/>
      </rPr>
      <t xml:space="preserve">490</t>
    </r>
    <r>
      <rPr>
        <sz val="11"/>
        <rFont val="WenQuanYi Zen Hei"/>
        <family val="2"/>
      </rPr>
      <t xml:space="preserve">百万円と売上</t>
    </r>
    <r>
      <rPr>
        <sz val="11"/>
        <rFont val="Noto Sans JP"/>
        <family val="0"/>
        <charset val="1"/>
      </rPr>
      <t xml:space="preserve">570</t>
    </r>
    <r>
      <rPr>
        <sz val="11"/>
        <rFont val="WenQuanYi Zen Hei"/>
        <family val="2"/>
      </rPr>
      <t xml:space="preserve">百万円は別の指標とされています（スライド</t>
    </r>
    <r>
      <rPr>
        <sz val="11"/>
        <rFont val="Noto Sans JP"/>
        <family val="0"/>
        <charset val="1"/>
      </rPr>
      <t xml:space="preserve">6</t>
    </r>
    <r>
      <rPr>
        <sz val="11"/>
        <rFont val="WenQuanYi Zen Hei"/>
        <family val="2"/>
      </rPr>
      <t xml:space="preserve">注記）。
</t>
    </r>
    <r>
      <rPr>
        <sz val="11"/>
        <rFont val="Noto Sans JP"/>
        <family val="0"/>
        <charset val="1"/>
      </rPr>
      <t xml:space="preserve">2. </t>
    </r>
    <r>
      <rPr>
        <sz val="11"/>
        <rFont val="WenQuanYi Zen Hei"/>
        <family val="2"/>
      </rPr>
      <t xml:space="preserve">売上になる時期が分かっていません。スライド</t>
    </r>
    <r>
      <rPr>
        <sz val="11"/>
        <rFont val="Noto Sans JP"/>
        <family val="0"/>
        <charset val="1"/>
      </rPr>
      <t xml:space="preserve">8</t>
    </r>
    <r>
      <rPr>
        <sz val="11"/>
        <rFont val="WenQuanYi Zen Hei"/>
        <family val="2"/>
      </rPr>
      <t xml:space="preserve">注記に「下期売上への転換時期は未整理」とあります。見込案件が受注できても、検収が下期中に終わるとは限りません。スライド</t>
    </r>
    <r>
      <rPr>
        <sz val="11"/>
        <rFont val="Noto Sans JP"/>
        <family val="0"/>
        <charset val="1"/>
      </rPr>
      <t xml:space="preserve">10</t>
    </r>
    <r>
      <rPr>
        <sz val="11"/>
        <rFont val="WenQuanYi Zen Hei"/>
        <family val="2"/>
      </rPr>
      <t xml:space="preserve">でも「</t>
    </r>
    <r>
      <rPr>
        <sz val="11"/>
        <rFont val="Noto Sans JP"/>
        <family val="0"/>
        <charset val="1"/>
      </rPr>
      <t xml:space="preserve">11</t>
    </r>
    <r>
      <rPr>
        <sz val="11"/>
        <rFont val="WenQuanYi Zen Hei"/>
        <family val="2"/>
      </rPr>
      <t xml:space="preserve">月末までに、受注見込と検収月の対応を再確認する」とされており、まだ確認中です。
</t>
    </r>
    <r>
      <rPr>
        <sz val="11"/>
        <rFont val="Noto Sans JP"/>
        <family val="0"/>
        <charset val="1"/>
      </rPr>
      <t xml:space="preserve">3. </t>
    </r>
    <r>
      <rPr>
        <sz val="11"/>
        <rFont val="WenQuanYi Zen Hei"/>
        <family val="2"/>
      </rPr>
      <t xml:space="preserve">下期売上の内訳がそろっていません。下期売上には、既存の受注残や保守サービスなどの継続売上のように、このパイプライン表に載っていない分も入る可能性があります。資料にはその金額がありません。また、加重見込額は確度をかけた期待値なので、実際に受注できる額そのものでもありません。
まとめると、</t>
    </r>
    <r>
      <rPr>
        <sz val="11"/>
        <rFont val="Noto Sans JP"/>
        <family val="0"/>
        <charset val="1"/>
      </rPr>
      <t xml:space="preserve">355</t>
    </r>
    <r>
      <rPr>
        <sz val="11"/>
        <rFont val="WenQuanYi Zen Hei"/>
        <family val="2"/>
      </rPr>
      <t xml:space="preserve">百万円は「目標と加重見込額の単純な差」として参考に示すことはできます。ただし、売上不足額と言うには、受注見込ごとの検収月の対応と、パイプライン以外の下期売上見込みを確認する必要があります。</t>
    </r>
  </si>
  <si>
    <t xml:space="preserve">/tmp/out/03-Q17.txt</t>
  </si>
  <si>
    <r>
      <rPr>
        <sz val="11"/>
        <rFont val="WenQuanYi Zen Hei"/>
        <family val="2"/>
      </rPr>
      <t xml:space="preserve">商品企画部長、</t>
    </r>
    <r>
      <rPr>
        <sz val="11"/>
        <rFont val="Noto Sans JP"/>
        <family val="0"/>
        <charset val="1"/>
      </rPr>
      <t xml:space="preserve">2026</t>
    </r>
    <r>
      <rPr>
        <sz val="11"/>
        <rFont val="WenQuanYi Zen Hei"/>
        <family val="2"/>
      </rPr>
      <t xml:space="preserve">年</t>
    </r>
    <r>
      <rPr>
        <sz val="11"/>
        <rFont val="Noto Sans JP"/>
        <family val="0"/>
        <charset val="1"/>
      </rPr>
      <t xml:space="preserve">11</t>
    </r>
    <r>
      <rPr>
        <sz val="11"/>
        <rFont val="WenQuanYi Zen Hei"/>
        <family val="2"/>
      </rPr>
      <t xml:space="preserve">月</t>
    </r>
    <r>
      <rPr>
        <sz val="11"/>
        <rFont val="Noto Sans JP"/>
        <family val="0"/>
        <charset val="1"/>
      </rPr>
      <t xml:space="preserve">13</t>
    </r>
    <r>
      <rPr>
        <sz val="11"/>
        <rFont val="WenQuanYi Zen Hei"/>
        <family val="2"/>
      </rPr>
      <t xml:space="preserve">日まで。</t>
    </r>
  </si>
  <si>
    <r>
      <rPr>
        <sz val="11"/>
        <rFont val="WenQuanYi Zen Hei"/>
        <family val="2"/>
      </rPr>
      <t xml:space="preserve">商品企画部長が、</t>
    </r>
    <r>
      <rPr>
        <sz val="11"/>
        <rFont val="Noto Sans JP"/>
        <family val="0"/>
        <charset val="1"/>
      </rPr>
      <t xml:space="preserve">11/13</t>
    </r>
    <r>
      <rPr>
        <sz val="11"/>
        <rFont val="WenQuanYi Zen Hei"/>
        <family val="2"/>
      </rPr>
      <t xml:space="preserve">までにクラウド価値比較資料を改訂して公開します（スライド</t>
    </r>
    <r>
      <rPr>
        <sz val="11"/>
        <rFont val="Noto Sans JP"/>
        <family val="0"/>
        <charset val="1"/>
      </rPr>
      <t xml:space="preserve">9</t>
    </r>
    <r>
      <rPr>
        <sz val="11"/>
        <rFont val="WenQuanYi Zen Hei"/>
        <family val="2"/>
      </rPr>
      <t xml:space="preserve">「実行責任と中間評価日を明確にする」の表より）。</t>
    </r>
  </si>
  <si>
    <r>
      <rPr>
        <sz val="11"/>
        <rFont val="WenQuanYi Zen Hei"/>
        <family val="2"/>
      </rPr>
      <t xml:space="preserve">期限を「</t>
    </r>
    <r>
      <rPr>
        <sz val="11"/>
        <rFont val="Noto Sans JP"/>
        <family val="0"/>
        <charset val="1"/>
      </rPr>
      <t xml:space="preserve">11/13</t>
    </r>
    <r>
      <rPr>
        <sz val="11"/>
        <rFont val="WenQuanYi Zen Hei"/>
        <family val="2"/>
      </rPr>
      <t xml:space="preserve">」と年なしで回答。資料表記（スライド</t>
    </r>
    <r>
      <rPr>
        <sz val="11"/>
        <rFont val="Noto Sans JP"/>
        <family val="0"/>
        <charset val="1"/>
      </rPr>
      <t xml:space="preserve">9</t>
    </r>
    <r>
      <rPr>
        <sz val="11"/>
        <rFont val="WenQuanYi Zen Hei"/>
        <family val="2"/>
      </rPr>
      <t xml:space="preserve">）と同じで、同一日付のため一致扱い。</t>
    </r>
  </si>
  <si>
    <t xml:space="preserve">/tmp/out/03-Q18.txt</t>
  </si>
  <si>
    <r>
      <rPr>
        <sz val="11"/>
        <rFont val="WenQuanYi Zen Hei"/>
        <family val="2"/>
      </rPr>
      <t xml:space="preserve">必要額</t>
    </r>
    <r>
      <rPr>
        <sz val="11"/>
        <rFont val="Noto Sans JP"/>
        <family val="0"/>
        <charset val="1"/>
      </rPr>
      <t xml:space="preserve">690</t>
    </r>
    <r>
      <rPr>
        <sz val="11"/>
        <rFont val="WenQuanYi Zen Hei"/>
        <family val="2"/>
      </rPr>
      <t xml:space="preserve">百万円。正式目標</t>
    </r>
    <r>
      <rPr>
        <sz val="11"/>
        <rFont val="Noto Sans JP"/>
        <family val="0"/>
        <charset val="1"/>
      </rPr>
      <t xml:space="preserve">660</t>
    </r>
    <r>
      <rPr>
        <sz val="11"/>
        <rFont val="WenQuanYi Zen Hei"/>
        <family val="2"/>
      </rPr>
      <t xml:space="preserve">百万円との差は</t>
    </r>
    <r>
      <rPr>
        <sz val="11"/>
        <rFont val="Noto Sans JP"/>
        <family val="0"/>
        <charset val="1"/>
      </rPr>
      <t xml:space="preserve">30</t>
    </r>
    <r>
      <rPr>
        <sz val="11"/>
        <rFont val="WenQuanYi Zen Hei"/>
        <family val="2"/>
      </rPr>
      <t xml:space="preserve">百万円。</t>
    </r>
  </si>
  <si>
    <t xml:space="preserve">2,10</t>
  </si>
  <si>
    <r>
      <rPr>
        <sz val="11"/>
        <rFont val="Noto Sans JP"/>
        <family val="0"/>
        <charset val="1"/>
      </rPr>
      <t xml:space="preserve">30</t>
    </r>
    <r>
      <rPr>
        <sz val="11"/>
        <rFont val="WenQuanYi Zen Hei"/>
        <family val="2"/>
      </rPr>
      <t xml:space="preserve">百万円です。年間計画</t>
    </r>
    <r>
      <rPr>
        <sz val="11"/>
        <rFont val="Noto Sans JP"/>
        <family val="0"/>
        <charset val="1"/>
      </rPr>
      <t xml:space="preserve">1,260</t>
    </r>
    <r>
      <rPr>
        <sz val="11"/>
        <rFont val="WenQuanYi Zen Hei"/>
        <family val="2"/>
      </rPr>
      <t xml:space="preserve">百万円（上期計画</t>
    </r>
    <r>
      <rPr>
        <sz val="11"/>
        <rFont val="Noto Sans JP"/>
        <family val="0"/>
        <charset val="1"/>
      </rPr>
      <t xml:space="preserve">600</t>
    </r>
    <r>
      <rPr>
        <sz val="11"/>
        <rFont val="WenQuanYi Zen Hei"/>
        <family val="2"/>
      </rPr>
      <t xml:space="preserve">＋下期目標</t>
    </r>
    <r>
      <rPr>
        <sz val="11"/>
        <rFont val="Noto Sans JP"/>
        <family val="0"/>
        <charset val="1"/>
      </rPr>
      <t xml:space="preserve">660</t>
    </r>
    <r>
      <rPr>
        <sz val="11"/>
        <rFont val="WenQuanYi Zen Hei"/>
        <family val="2"/>
      </rPr>
      <t xml:space="preserve">）の達成には、上期実績</t>
    </r>
    <r>
      <rPr>
        <sz val="11"/>
        <rFont val="Noto Sans JP"/>
        <family val="0"/>
        <charset val="1"/>
      </rPr>
      <t xml:space="preserve">570</t>
    </r>
    <r>
      <rPr>
        <sz val="11"/>
        <rFont val="WenQuanYi Zen Hei"/>
        <family val="2"/>
      </rPr>
      <t xml:space="preserve">百万円との差額として下期に</t>
    </r>
    <r>
      <rPr>
        <sz val="11"/>
        <rFont val="Noto Sans JP"/>
        <family val="0"/>
        <charset val="1"/>
      </rPr>
      <t xml:space="preserve">690</t>
    </r>
    <r>
      <rPr>
        <sz val="11"/>
        <rFont val="WenQuanYi Zen Hei"/>
        <family val="2"/>
      </rPr>
      <t xml:space="preserve">百万円の売上が必要です。正式な下期目標</t>
    </r>
    <r>
      <rPr>
        <sz val="11"/>
        <rFont val="Noto Sans JP"/>
        <family val="0"/>
        <charset val="1"/>
      </rPr>
      <t xml:space="preserve">660</t>
    </r>
    <r>
      <rPr>
        <sz val="11"/>
        <rFont val="WenQuanYi Zen Hei"/>
        <family val="2"/>
      </rPr>
      <t xml:space="preserve">百万円との差は</t>
    </r>
    <r>
      <rPr>
        <sz val="11"/>
        <rFont val="Noto Sans JP"/>
        <family val="0"/>
        <charset val="1"/>
      </rPr>
      <t xml:space="preserve">30</t>
    </r>
    <r>
      <rPr>
        <sz val="11"/>
        <rFont val="WenQuanYi Zen Hei"/>
        <family val="2"/>
      </rPr>
      <t xml:space="preserve">百万円（</t>
    </r>
    <r>
      <rPr>
        <sz val="11"/>
        <rFont val="Noto Sans JP"/>
        <family val="0"/>
        <charset val="1"/>
      </rPr>
      <t xml:space="preserve">690</t>
    </r>
    <r>
      <rPr>
        <sz val="11"/>
        <rFont val="WenQuanYi Zen Hei"/>
        <family val="2"/>
      </rPr>
      <t xml:space="preserve">－</t>
    </r>
    <r>
      <rPr>
        <sz val="11"/>
        <rFont val="Noto Sans JP"/>
        <family val="0"/>
        <charset val="1"/>
      </rPr>
      <t xml:space="preserve">660</t>
    </r>
    <r>
      <rPr>
        <sz val="11"/>
        <rFont val="WenQuanYi Zen Hei"/>
        <family val="2"/>
      </rPr>
      <t xml:space="preserve">）で、上期未達分の</t>
    </r>
    <r>
      <rPr>
        <sz val="11"/>
        <rFont val="Noto Sans JP"/>
        <family val="0"/>
        <charset val="1"/>
      </rPr>
      <t xml:space="preserve">30</t>
    </r>
    <r>
      <rPr>
        <sz val="11"/>
        <rFont val="WenQuanYi Zen Hei"/>
        <family val="2"/>
      </rPr>
      <t xml:space="preserve">百万円に一致します（スライド</t>
    </r>
    <r>
      <rPr>
        <sz val="11"/>
        <rFont val="Noto Sans JP"/>
        <family val="0"/>
        <charset val="1"/>
      </rPr>
      <t xml:space="preserve">10</t>
    </r>
    <r>
      <rPr>
        <sz val="11"/>
        <rFont val="WenQuanYi Zen Hei"/>
        <family val="2"/>
      </rPr>
      <t xml:space="preserve">）。</t>
    </r>
  </si>
  <si>
    <t xml:space="preserve">/tmp/out/03-Q19.txt</t>
  </si>
  <si>
    <t xml:space="preserve">個別施策への配分が未確定のため回答できない。</t>
  </si>
  <si>
    <r>
      <rPr>
        <sz val="11"/>
        <rFont val="WenQuanYi Zen Hei"/>
        <family val="2"/>
      </rPr>
      <t xml:space="preserve">資料からは特定できません。スライド</t>
    </r>
    <r>
      <rPr>
        <sz val="11"/>
        <rFont val="Noto Sans JP"/>
        <family val="0"/>
        <charset val="1"/>
      </rPr>
      <t xml:space="preserve">9</t>
    </r>
    <r>
      <rPr>
        <sz val="11"/>
        <rFont val="WenQuanYi Zen Hei"/>
        <family val="2"/>
      </rPr>
      <t xml:space="preserve">の注記に「施策費用は合計</t>
    </r>
    <r>
      <rPr>
        <sz val="11"/>
        <rFont val="Noto Sans JP"/>
        <family val="0"/>
        <charset val="1"/>
      </rPr>
      <t xml:space="preserve">12</t>
    </r>
    <r>
      <rPr>
        <sz val="11"/>
        <rFont val="WenQuanYi Zen Hei"/>
        <family val="2"/>
      </rPr>
      <t xml:space="preserve">百万円を申請。個別施策への配分は未確定。」とあり、パートナー向け勉強会（アライアンス責任者、</t>
    </r>
    <r>
      <rPr>
        <sz val="11"/>
        <rFont val="Noto Sans JP"/>
        <family val="0"/>
        <charset val="1"/>
      </rPr>
      <t xml:space="preserve">12/15</t>
    </r>
    <r>
      <rPr>
        <sz val="11"/>
        <rFont val="WenQuanYi Zen Hei"/>
        <family val="2"/>
      </rPr>
      <t xml:space="preserve">までに</t>
    </r>
    <r>
      <rPr>
        <sz val="11"/>
        <rFont val="Noto Sans JP"/>
        <family val="0"/>
        <charset val="1"/>
      </rPr>
      <t xml:space="preserve">3</t>
    </r>
    <r>
      <rPr>
        <sz val="11"/>
        <rFont val="WenQuanYi Zen Hei"/>
        <family val="2"/>
      </rPr>
      <t xml:space="preserve">回開催）への配分額は記載されていません。</t>
    </r>
  </si>
  <si>
    <t xml:space="preserve">/tmp/out/03-Q20.txt</t>
  </si>
  <si>
    <r>
      <rPr>
        <b val="true"/>
        <sz val="15"/>
        <rFont val="WenQuanYi Zen Hei"/>
        <family val="2"/>
      </rPr>
      <t xml:space="preserve">製造品質改善計画：テスト問題（</t>
    </r>
    <r>
      <rPr>
        <b val="true"/>
        <sz val="15"/>
        <rFont val="Noto Sans JP"/>
        <family val="0"/>
        <charset val="1"/>
      </rPr>
      <t xml:space="preserve">LLM</t>
    </r>
    <r>
      <rPr>
        <b val="true"/>
        <sz val="15"/>
        <rFont val="WenQuanYi Zen Hei"/>
        <family val="2"/>
      </rPr>
      <t xml:space="preserve">入力用）</t>
    </r>
  </si>
  <si>
    <t xml:space="preserve">04-Q01</t>
  </si>
  <si>
    <t xml:space="preserve">改善責任者は誰ですか。</t>
  </si>
  <si>
    <t xml:space="preserve">04-Q02</t>
  </si>
  <si>
    <t xml:space="preserve">改善対象と対象外を答えてください。</t>
  </si>
  <si>
    <t xml:space="preserve">04-Q03</t>
  </si>
  <si>
    <r>
      <rPr>
        <sz val="11"/>
        <rFont val="Noto Sans JP"/>
        <family val="0"/>
        <charset val="1"/>
      </rPr>
      <t xml:space="preserve">9</t>
    </r>
    <r>
      <rPr>
        <sz val="11"/>
        <rFont val="WenQuanYi Zen Hei"/>
        <family val="2"/>
      </rPr>
      <t xml:space="preserve">月の生産台数と不良台数から不良率を計算してください。</t>
    </r>
  </si>
  <si>
    <t xml:space="preserve">04-Q04</t>
  </si>
  <si>
    <t xml:space="preserve">不良が最も多い分類と構成比を答えてください。</t>
  </si>
  <si>
    <t xml:space="preserve">04-Q05</t>
  </si>
  <si>
    <t xml:space="preserve">締結不良と傷を合わせた不良台数と構成比を答えてください。</t>
  </si>
  <si>
    <t xml:space="preserve">04-Q06</t>
  </si>
  <si>
    <r>
      <rPr>
        <sz val="11"/>
        <rFont val="WenQuanYi Zen Hei"/>
        <family val="2"/>
      </rPr>
      <t xml:space="preserve">不良率が</t>
    </r>
    <r>
      <rPr>
        <sz val="11"/>
        <rFont val="Noto Sans JP"/>
        <family val="0"/>
        <charset val="1"/>
      </rPr>
      <t xml:space="preserve">2.5%</t>
    </r>
    <r>
      <rPr>
        <sz val="11"/>
        <rFont val="WenQuanYi Zen Hei"/>
        <family val="2"/>
      </rPr>
      <t xml:space="preserve">を超えた月を答えてください。</t>
    </r>
  </si>
  <si>
    <t xml:space="preserve">04-Q07</t>
  </si>
  <si>
    <r>
      <rPr>
        <sz val="11"/>
        <rFont val="Noto Sans JP"/>
        <family val="0"/>
        <charset val="1"/>
      </rPr>
      <t xml:space="preserve">6</t>
    </r>
    <r>
      <rPr>
        <sz val="11"/>
        <rFont val="WenQuanYi Zen Hei"/>
        <family val="2"/>
      </rPr>
      <t xml:space="preserve">月から</t>
    </r>
    <r>
      <rPr>
        <sz val="11"/>
        <rFont val="Noto Sans JP"/>
        <family val="0"/>
        <charset val="1"/>
      </rPr>
      <t xml:space="preserve">9</t>
    </r>
    <r>
      <rPr>
        <sz val="11"/>
        <rFont val="WenQuanYi Zen Hei"/>
        <family val="2"/>
      </rPr>
      <t xml:space="preserve">月の不良率の変化をポイントで答えてください。</t>
    </r>
  </si>
  <si>
    <t xml:space="preserve">04-Q08</t>
  </si>
  <si>
    <r>
      <rPr>
        <sz val="11"/>
        <rFont val="Noto Sans JP"/>
        <family val="0"/>
        <charset val="1"/>
      </rPr>
      <t xml:space="preserve">6</t>
    </r>
    <r>
      <rPr>
        <sz val="11"/>
        <rFont val="WenQuanYi Zen Hei"/>
        <family val="2"/>
      </rPr>
      <t xml:space="preserve">月の不良台数を求めてください。</t>
    </r>
  </si>
  <si>
    <t xml:space="preserve">04-Q09</t>
  </si>
  <si>
    <t xml:space="preserve">締結不良の原因が工具だと確定していますか。</t>
  </si>
  <si>
    <t xml:space="preserve">04-Q10</t>
  </si>
  <si>
    <t xml:space="preserve">バーコード読込の担当と期限を答えてください。</t>
  </si>
  <si>
    <t xml:space="preserve">04-Q11</t>
  </si>
  <si>
    <r>
      <rPr>
        <sz val="11"/>
        <rFont val="WenQuanYi Zen Hei"/>
        <family val="2"/>
      </rPr>
      <t xml:space="preserve">試行後の品質条件を</t>
    </r>
    <r>
      <rPr>
        <sz val="11"/>
        <rFont val="Noto Sans JP"/>
        <family val="0"/>
        <charset val="1"/>
      </rPr>
      <t xml:space="preserve">2</t>
    </r>
    <r>
      <rPr>
        <sz val="11"/>
        <rFont val="WenQuanYi Zen Hei"/>
        <family val="2"/>
      </rPr>
      <t xml:space="preserve">つ答えてください。</t>
    </r>
  </si>
  <si>
    <t xml:space="preserve">04-Q12</t>
  </si>
  <si>
    <r>
      <rPr>
        <sz val="11"/>
        <rFont val="WenQuanYi Zen Hei"/>
        <family val="2"/>
      </rPr>
      <t xml:space="preserve">全不良</t>
    </r>
    <r>
      <rPr>
        <sz val="11"/>
        <rFont val="Noto Sans JP"/>
        <family val="0"/>
        <charset val="1"/>
      </rPr>
      <t xml:space="preserve">4</t>
    </r>
    <r>
      <rPr>
        <sz val="11"/>
        <rFont val="WenQuanYi Zen Hei"/>
        <family val="2"/>
      </rPr>
      <t xml:space="preserve">台、締結不良</t>
    </r>
    <r>
      <rPr>
        <sz val="11"/>
        <rFont val="Noto Sans JP"/>
        <family val="0"/>
        <charset val="1"/>
      </rPr>
      <t xml:space="preserve">2</t>
    </r>
    <r>
      <rPr>
        <sz val="11"/>
        <rFont val="WenQuanYi Zen Hei"/>
        <family val="2"/>
      </rPr>
      <t xml:space="preserve">台、平均</t>
    </r>
    <r>
      <rPr>
        <sz val="11"/>
        <rFont val="Noto Sans JP"/>
        <family val="0"/>
        <charset val="1"/>
      </rPr>
      <t xml:space="preserve">64</t>
    </r>
    <r>
      <rPr>
        <sz val="11"/>
        <rFont val="WenQuanYi Zen Hei"/>
        <family val="2"/>
      </rPr>
      <t xml:space="preserve">秒なら合格ですか。</t>
    </r>
  </si>
  <si>
    <t xml:space="preserve">04-Q13</t>
  </si>
  <si>
    <t xml:space="preserve">試行前から許容されるサイクルタイム増加率を求めてください。</t>
  </si>
  <si>
    <t xml:space="preserve">04-Q14</t>
  </si>
  <si>
    <r>
      <rPr>
        <sz val="11"/>
        <rFont val="WenQuanYi Zen Hei"/>
        <family val="2"/>
      </rPr>
      <t xml:space="preserve">生産</t>
    </r>
    <r>
      <rPr>
        <sz val="11"/>
        <rFont val="Noto Sans JP"/>
        <family val="0"/>
        <charset val="1"/>
      </rPr>
      <t xml:space="preserve">10,000</t>
    </r>
    <r>
      <rPr>
        <sz val="11"/>
        <rFont val="WenQuanYi Zen Hei"/>
        <family val="2"/>
      </rPr>
      <t xml:space="preserve">台で不良率</t>
    </r>
    <r>
      <rPr>
        <sz val="11"/>
        <rFont val="Noto Sans JP"/>
        <family val="0"/>
        <charset val="1"/>
      </rPr>
      <t xml:space="preserve">1.0%</t>
    </r>
    <r>
      <rPr>
        <sz val="11"/>
        <rFont val="WenQuanYi Zen Hei"/>
        <family val="2"/>
      </rPr>
      <t xml:space="preserve">を達成した場合、不良削減台数はいくらですか。</t>
    </r>
  </si>
  <si>
    <t xml:space="preserve">04-Q15</t>
  </si>
  <si>
    <t xml:space="preserve">手直し費削減と保全費を踏まえた純削減額はいくらですか。</t>
  </si>
  <si>
    <t xml:space="preserve">04-Q16</t>
  </si>
  <si>
    <r>
      <rPr>
        <sz val="11"/>
        <rFont val="WenQuanYi Zen Hei"/>
        <family val="2"/>
      </rPr>
      <t xml:space="preserve">投資</t>
    </r>
    <r>
      <rPr>
        <sz val="11"/>
        <rFont val="Noto Sans JP"/>
        <family val="0"/>
        <charset val="1"/>
      </rPr>
      <t xml:space="preserve">120</t>
    </r>
    <r>
      <rPr>
        <sz val="11"/>
        <rFont val="WenQuanYi Zen Hei"/>
        <family val="2"/>
      </rPr>
      <t xml:space="preserve">万円の単純回収期間を求めてください。</t>
    </r>
  </si>
  <si>
    <t xml:space="preserve">04-Q17</t>
  </si>
  <si>
    <r>
      <rPr>
        <sz val="11"/>
        <rFont val="WenQuanYi Zen Hei"/>
        <family val="2"/>
      </rPr>
      <t xml:space="preserve">トルク規格外を</t>
    </r>
    <r>
      <rPr>
        <sz val="11"/>
        <rFont val="Noto Sans JP"/>
        <family val="0"/>
        <charset val="1"/>
      </rPr>
      <t xml:space="preserve">1</t>
    </r>
    <r>
      <rPr>
        <sz val="11"/>
        <rFont val="WenQuanYi Zen Hei"/>
        <family val="2"/>
      </rPr>
      <t xml:space="preserve">台検知した場合、どう対応しますか。</t>
    </r>
  </si>
  <si>
    <t xml:space="preserve">04-Q18</t>
  </si>
  <si>
    <t xml:space="preserve">停止後の再開承認者と試行判定者はそれぞれ誰ですか。</t>
  </si>
  <si>
    <t xml:space="preserve">04-Q19</t>
  </si>
  <si>
    <t xml:space="preserve">試行後の実測不良率はいくらですか。</t>
  </si>
  <si>
    <t xml:space="preserve">04-Q20</t>
  </si>
  <si>
    <t xml:space="preserve">品質目標とその評価時点を答えてください。</t>
  </si>
  <si>
    <t xml:space="preserve">製造品質改善計画：期待回答・評価記録</t>
  </si>
  <si>
    <t xml:space="preserve">品質保証部の山本 美咲。</t>
  </si>
  <si>
    <r>
      <rPr>
        <sz val="11"/>
        <rFont val="WenQuanYi Zen Hei"/>
        <family val="2"/>
      </rPr>
      <t xml:space="preserve">改善責任者は、品質保証部の山本 美咲です（スライド</t>
    </r>
    <r>
      <rPr>
        <sz val="11"/>
        <rFont val="Noto Sans JP"/>
        <family val="0"/>
        <charset val="1"/>
      </rPr>
      <t xml:space="preserve">1</t>
    </r>
    <r>
      <rPr>
        <sz val="11"/>
        <rFont val="WenQuanYi Zen Hei"/>
        <family val="2"/>
      </rPr>
      <t xml:space="preserve">）。</t>
    </r>
  </si>
  <si>
    <t xml:space="preserve">/tmp/out/04-Q01.txt</t>
  </si>
  <si>
    <r>
      <rPr>
        <sz val="11"/>
        <rFont val="WenQuanYi Zen Hei"/>
        <family val="2"/>
      </rPr>
      <t xml:space="preserve">組立ライン</t>
    </r>
    <r>
      <rPr>
        <sz val="11"/>
        <rFont val="Noto Sans JP"/>
        <family val="0"/>
        <charset val="1"/>
      </rPr>
      <t xml:space="preserve">A</t>
    </r>
    <r>
      <rPr>
        <sz val="11"/>
        <rFont val="WenQuanYi Zen Hei"/>
        <family val="2"/>
      </rPr>
      <t xml:space="preserve">の工程内不良が対象。出荷後返品は対象外。</t>
    </r>
  </si>
  <si>
    <r>
      <rPr>
        <sz val="11"/>
        <rFont val="WenQuanYi Zen Hei"/>
        <family val="2"/>
      </rPr>
      <t xml:space="preserve">改善対象：組立ライン</t>
    </r>
    <r>
      <rPr>
        <sz val="11"/>
        <rFont val="Noto Sans JP"/>
        <family val="0"/>
        <charset val="1"/>
      </rPr>
      <t xml:space="preserve">A</t>
    </r>
    <r>
      <rPr>
        <sz val="11"/>
        <rFont val="WenQuanYi Zen Hei"/>
        <family val="2"/>
      </rPr>
      <t xml:space="preserve">の工程内不良（スライド</t>
    </r>
    <r>
      <rPr>
        <sz val="11"/>
        <rFont val="Noto Sans JP"/>
        <family val="0"/>
        <charset val="1"/>
      </rPr>
      <t xml:space="preserve">2</t>
    </r>
    <r>
      <rPr>
        <sz val="11"/>
        <rFont val="WenQuanYi Zen Hei"/>
        <family val="2"/>
      </rPr>
      <t xml:space="preserve">）。
対象外：出荷後返品（スライド</t>
    </r>
    <r>
      <rPr>
        <sz val="11"/>
        <rFont val="Noto Sans JP"/>
        <family val="0"/>
        <charset val="1"/>
      </rPr>
      <t xml:space="preserve">2</t>
    </r>
    <r>
      <rPr>
        <sz val="11"/>
        <rFont val="WenQuanYi Zen Hei"/>
        <family val="2"/>
      </rPr>
      <t xml:space="preserve">注記）。
補足：不良台数は</t>
    </r>
    <r>
      <rPr>
        <sz val="11"/>
        <rFont val="Noto Sans JP"/>
        <family val="0"/>
        <charset val="1"/>
      </rPr>
      <t xml:space="preserve">1</t>
    </r>
    <r>
      <rPr>
        <sz val="11"/>
        <rFont val="WenQuanYi Zen Hei"/>
        <family val="2"/>
      </rPr>
      <t xml:space="preserve">台につき主因</t>
    </r>
    <r>
      <rPr>
        <sz val="11"/>
        <rFont val="Noto Sans JP"/>
        <family val="0"/>
        <charset val="1"/>
      </rPr>
      <t xml:space="preserve">1</t>
    </r>
    <r>
      <rPr>
        <sz val="11"/>
        <rFont val="WenQuanYi Zen Hei"/>
        <family val="2"/>
      </rPr>
      <t xml:space="preserve">つで分類します（スライド</t>
    </r>
    <r>
      <rPr>
        <sz val="11"/>
        <rFont val="Noto Sans JP"/>
        <family val="0"/>
        <charset val="1"/>
      </rPr>
      <t xml:space="preserve">2</t>
    </r>
    <r>
      <rPr>
        <sz val="11"/>
        <rFont val="WenQuanYi Zen Hei"/>
        <family val="2"/>
      </rPr>
      <t xml:space="preserve">注記）。</t>
    </r>
  </si>
  <si>
    <t xml:space="preserve">/tmp/out/04-Q02.txt</t>
  </si>
  <si>
    <r>
      <rPr>
        <sz val="11"/>
        <rFont val="Noto Sans JP"/>
        <family val="0"/>
        <charset val="1"/>
      </rPr>
      <t xml:space="preserve">300÷10,000×100</t>
    </r>
    <r>
      <rPr>
        <sz val="11"/>
        <rFont val="WenQuanYi Zen Hei"/>
        <family val="2"/>
      </rPr>
      <t xml:space="preserve">＝</t>
    </r>
    <r>
      <rPr>
        <sz val="11"/>
        <rFont val="Noto Sans JP"/>
        <family val="0"/>
        <charset val="1"/>
      </rPr>
      <t xml:space="preserve">3.0%</t>
    </r>
    <r>
      <rPr>
        <sz val="11"/>
        <rFont val="WenQuanYi Zen Hei"/>
        <family val="2"/>
      </rPr>
      <t xml:space="preserve">。</t>
    </r>
  </si>
  <si>
    <r>
      <rPr>
        <sz val="11"/>
        <rFont val="Noto Sans JP"/>
        <family val="0"/>
        <charset val="1"/>
      </rPr>
      <t xml:space="preserve">2026</t>
    </r>
    <r>
      <rPr>
        <sz val="11"/>
        <rFont val="WenQuanYi Zen Hei"/>
        <family val="2"/>
      </rPr>
      <t xml:space="preserve">年</t>
    </r>
    <r>
      <rPr>
        <sz val="11"/>
        <rFont val="Noto Sans JP"/>
        <family val="0"/>
        <charset val="1"/>
      </rPr>
      <t xml:space="preserve">9</t>
    </r>
    <r>
      <rPr>
        <sz val="11"/>
        <rFont val="WenQuanYi Zen Hei"/>
        <family val="2"/>
      </rPr>
      <t xml:space="preserve">月の組立ライン</t>
    </r>
    <r>
      <rPr>
        <sz val="11"/>
        <rFont val="Noto Sans JP"/>
        <family val="0"/>
        <charset val="1"/>
      </rPr>
      <t xml:space="preserve">A</t>
    </r>
    <r>
      <rPr>
        <sz val="11"/>
        <rFont val="WenQuanYi Zen Hei"/>
        <family val="2"/>
      </rPr>
      <t xml:space="preserve">は、生産</t>
    </r>
    <r>
      <rPr>
        <sz val="11"/>
        <rFont val="Noto Sans JP"/>
        <family val="0"/>
        <charset val="1"/>
      </rPr>
      <t xml:space="preserve">10,000</t>
    </r>
    <r>
      <rPr>
        <sz val="11"/>
        <rFont val="WenQuanYi Zen Hei"/>
        <family val="2"/>
      </rPr>
      <t xml:space="preserve">台に対して不良が</t>
    </r>
    <r>
      <rPr>
        <sz val="11"/>
        <rFont val="Noto Sans JP"/>
        <family val="0"/>
        <charset val="1"/>
      </rPr>
      <t xml:space="preserve">300</t>
    </r>
    <r>
      <rPr>
        <sz val="11"/>
        <rFont val="WenQuanYi Zen Hei"/>
        <family val="2"/>
      </rPr>
      <t xml:space="preserve">台でした。
不良率 </t>
    </r>
    <r>
      <rPr>
        <sz val="11"/>
        <rFont val="Noto Sans JP"/>
        <family val="0"/>
        <charset val="1"/>
      </rPr>
      <t xml:space="preserve">= </t>
    </r>
    <r>
      <rPr>
        <sz val="11"/>
        <rFont val="WenQuanYi Zen Hei"/>
        <family val="2"/>
      </rPr>
      <t xml:space="preserve">不良台数 </t>
    </r>
    <r>
      <rPr>
        <sz val="11"/>
        <rFont val="Noto Sans JP"/>
        <family val="0"/>
        <charset val="1"/>
      </rPr>
      <t xml:space="preserve">÷ </t>
    </r>
    <r>
      <rPr>
        <sz val="11"/>
        <rFont val="WenQuanYi Zen Hei"/>
        <family val="2"/>
      </rPr>
      <t xml:space="preserve">生産台数 </t>
    </r>
    <r>
      <rPr>
        <sz val="11"/>
        <rFont val="Noto Sans JP"/>
        <family val="0"/>
        <charset val="1"/>
      </rPr>
      <t xml:space="preserve">× 100
</t>
    </r>
    <r>
      <rPr>
        <sz val="11"/>
        <rFont val="WenQuanYi Zen Hei"/>
        <family val="2"/>
      </rPr>
      <t xml:space="preserve">　　　 </t>
    </r>
    <r>
      <rPr>
        <sz val="11"/>
        <rFont val="Noto Sans JP"/>
        <family val="0"/>
        <charset val="1"/>
      </rPr>
      <t xml:space="preserve">= 300</t>
    </r>
    <r>
      <rPr>
        <sz val="11"/>
        <rFont val="WenQuanYi Zen Hei"/>
        <family val="2"/>
      </rPr>
      <t xml:space="preserve">台 </t>
    </r>
    <r>
      <rPr>
        <sz val="11"/>
        <rFont val="Noto Sans JP"/>
        <family val="0"/>
        <charset val="1"/>
      </rPr>
      <t xml:space="preserve">÷ 10,000</t>
    </r>
    <r>
      <rPr>
        <sz val="11"/>
        <rFont val="WenQuanYi Zen Hei"/>
        <family val="2"/>
      </rPr>
      <t xml:space="preserve">台 </t>
    </r>
    <r>
      <rPr>
        <sz val="11"/>
        <rFont val="Noto Sans JP"/>
        <family val="0"/>
        <charset val="1"/>
      </rPr>
      <t xml:space="preserve">× 100
</t>
    </r>
    <r>
      <rPr>
        <sz val="11"/>
        <rFont val="WenQuanYi Zen Hei"/>
        <family val="2"/>
      </rPr>
      <t xml:space="preserve">　　　 </t>
    </r>
    <r>
      <rPr>
        <sz val="11"/>
        <rFont val="Noto Sans JP"/>
        <family val="0"/>
        <charset val="1"/>
      </rPr>
      <t xml:space="preserve">= 3.0%
9</t>
    </r>
    <r>
      <rPr>
        <sz val="11"/>
        <rFont val="WenQuanYi Zen Hei"/>
        <family val="2"/>
      </rPr>
      <t xml:space="preserve">月の不良率は</t>
    </r>
    <r>
      <rPr>
        <sz val="11"/>
        <rFont val="Noto Sans JP"/>
        <family val="0"/>
        <charset val="1"/>
      </rPr>
      <t xml:space="preserve">3.0%</t>
    </r>
    <r>
      <rPr>
        <sz val="11"/>
        <rFont val="WenQuanYi Zen Hei"/>
        <family val="2"/>
      </rPr>
      <t xml:space="preserve">です。資料に書かれている現状不良率</t>
    </r>
    <r>
      <rPr>
        <sz val="11"/>
        <rFont val="Noto Sans JP"/>
        <family val="0"/>
        <charset val="1"/>
      </rPr>
      <t xml:space="preserve">3.0%</t>
    </r>
    <r>
      <rPr>
        <sz val="11"/>
        <rFont val="WenQuanYi Zen Hei"/>
        <family val="2"/>
      </rPr>
      <t xml:space="preserve">（スライド</t>
    </r>
    <r>
      <rPr>
        <sz val="11"/>
        <rFont val="Noto Sans JP"/>
        <family val="0"/>
        <charset val="1"/>
      </rPr>
      <t xml:space="preserve">2</t>
    </r>
    <r>
      <rPr>
        <sz val="11"/>
        <rFont val="WenQuanYi Zen Hei"/>
        <family val="2"/>
      </rPr>
      <t xml:space="preserve">、スライド</t>
    </r>
    <r>
      <rPr>
        <sz val="11"/>
        <rFont val="Noto Sans JP"/>
        <family val="0"/>
        <charset val="1"/>
      </rPr>
      <t xml:space="preserve">4</t>
    </r>
    <r>
      <rPr>
        <sz val="11"/>
        <rFont val="WenQuanYi Zen Hei"/>
        <family val="2"/>
      </rPr>
      <t xml:space="preserve">）と同じ値です。
根拠：スライド</t>
    </r>
    <r>
      <rPr>
        <sz val="11"/>
        <rFont val="Noto Sans JP"/>
        <family val="0"/>
        <charset val="1"/>
      </rPr>
      <t xml:space="preserve">2</t>
    </r>
    <r>
      <rPr>
        <sz val="11"/>
        <rFont val="WenQuanYi Zen Hei"/>
        <family val="2"/>
      </rPr>
      <t xml:space="preserve">「基準月：</t>
    </r>
    <r>
      <rPr>
        <sz val="11"/>
        <rFont val="Noto Sans JP"/>
        <family val="0"/>
        <charset val="1"/>
      </rPr>
      <t xml:space="preserve">2026</t>
    </r>
    <r>
      <rPr>
        <sz val="11"/>
        <rFont val="WenQuanYi Zen Hei"/>
        <family val="2"/>
      </rPr>
      <t xml:space="preserve">年</t>
    </r>
    <r>
      <rPr>
        <sz val="11"/>
        <rFont val="Noto Sans JP"/>
        <family val="0"/>
        <charset val="1"/>
      </rPr>
      <t xml:space="preserve">9</t>
    </r>
    <r>
      <rPr>
        <sz val="11"/>
        <rFont val="WenQuanYi Zen Hei"/>
        <family val="2"/>
      </rPr>
      <t xml:space="preserve">月、生産</t>
    </r>
    <r>
      <rPr>
        <sz val="11"/>
        <rFont val="Noto Sans JP"/>
        <family val="0"/>
        <charset val="1"/>
      </rPr>
      <t xml:space="preserve">10,000</t>
    </r>
    <r>
      <rPr>
        <sz val="11"/>
        <rFont val="WenQuanYi Zen Hei"/>
        <family val="2"/>
      </rPr>
      <t xml:space="preserve">台、不良</t>
    </r>
    <r>
      <rPr>
        <sz val="11"/>
        <rFont val="Noto Sans JP"/>
        <family val="0"/>
        <charset val="1"/>
      </rPr>
      <t xml:space="preserve">300</t>
    </r>
    <r>
      <rPr>
        <sz val="11"/>
        <rFont val="WenQuanYi Zen Hei"/>
        <family val="2"/>
      </rPr>
      <t xml:space="preserve">台」「現状不良率：</t>
    </r>
    <r>
      <rPr>
        <sz val="11"/>
        <rFont val="Noto Sans JP"/>
        <family val="0"/>
        <charset val="1"/>
      </rPr>
      <t xml:space="preserve">3.0%</t>
    </r>
    <r>
      <rPr>
        <sz val="11"/>
        <rFont val="WenQuanYi Zen Hei"/>
        <family val="2"/>
      </rPr>
      <t xml:space="preserve">」、スライド</t>
    </r>
    <r>
      <rPr>
        <sz val="11"/>
        <rFont val="Noto Sans JP"/>
        <family val="0"/>
        <charset val="1"/>
      </rPr>
      <t xml:space="preserve">4</t>
    </r>
    <r>
      <rPr>
        <sz val="11"/>
        <rFont val="WenQuanYi Zen Hei"/>
        <family val="2"/>
      </rPr>
      <t xml:space="preserve">「生産：毎月</t>
    </r>
    <r>
      <rPr>
        <sz val="11"/>
        <rFont val="Noto Sans JP"/>
        <family val="0"/>
        <charset val="1"/>
      </rPr>
      <t xml:space="preserve">10,000</t>
    </r>
    <r>
      <rPr>
        <sz val="11"/>
        <rFont val="WenQuanYi Zen Hei"/>
        <family val="2"/>
      </rPr>
      <t xml:space="preserve">台」「</t>
    </r>
    <r>
      <rPr>
        <sz val="11"/>
        <rFont val="Noto Sans JP"/>
        <family val="0"/>
        <charset val="1"/>
      </rPr>
      <t xml:space="preserve">9</t>
    </r>
    <r>
      <rPr>
        <sz val="11"/>
        <rFont val="WenQuanYi Zen Hei"/>
        <family val="2"/>
      </rPr>
      <t xml:space="preserve">月不良台数：</t>
    </r>
    <r>
      <rPr>
        <sz val="11"/>
        <rFont val="Noto Sans JP"/>
        <family val="0"/>
        <charset val="1"/>
      </rPr>
      <t xml:space="preserve">300</t>
    </r>
    <r>
      <rPr>
        <sz val="11"/>
        <rFont val="WenQuanYi Zen Hei"/>
        <family val="2"/>
      </rPr>
      <t xml:space="preserve">台」「</t>
    </r>
    <r>
      <rPr>
        <sz val="11"/>
        <rFont val="Noto Sans JP"/>
        <family val="0"/>
        <charset val="1"/>
      </rPr>
      <t xml:space="preserve">9</t>
    </r>
    <r>
      <rPr>
        <sz val="11"/>
        <rFont val="WenQuanYi Zen Hei"/>
        <family val="2"/>
      </rPr>
      <t xml:space="preserve">月 </t>
    </r>
    <r>
      <rPr>
        <sz val="11"/>
        <rFont val="Noto Sans JP"/>
        <family val="0"/>
        <charset val="1"/>
      </rPr>
      <t xml:space="preserve">3.0%</t>
    </r>
    <r>
      <rPr>
        <sz val="11"/>
        <rFont val="WenQuanYi Zen Hei"/>
        <family val="2"/>
      </rPr>
      <t xml:space="preserve">」
補足：この不良率は組立ライン</t>
    </r>
    <r>
      <rPr>
        <sz val="11"/>
        <rFont val="Noto Sans JP"/>
        <family val="0"/>
        <charset val="1"/>
      </rPr>
      <t xml:space="preserve">A</t>
    </r>
    <r>
      <rPr>
        <sz val="11"/>
        <rFont val="WenQuanYi Zen Hei"/>
        <family val="2"/>
      </rPr>
      <t xml:space="preserve">の工程内不良を対象とした値で、出荷後の返品は含みません（スライド</t>
    </r>
    <r>
      <rPr>
        <sz val="11"/>
        <rFont val="Noto Sans JP"/>
        <family val="0"/>
        <charset val="1"/>
      </rPr>
      <t xml:space="preserve">2</t>
    </r>
    <r>
      <rPr>
        <sz val="11"/>
        <rFont val="WenQuanYi Zen Hei"/>
        <family val="2"/>
      </rPr>
      <t xml:space="preserve">の注記）。</t>
    </r>
  </si>
  <si>
    <t xml:space="preserve">/tmp/out/04-Q03.txt</t>
  </si>
  <si>
    <r>
      <rPr>
        <sz val="11"/>
        <rFont val="WenQuanYi Zen Hei"/>
        <family val="2"/>
      </rPr>
      <t xml:space="preserve">締結不良、</t>
    </r>
    <r>
      <rPr>
        <sz val="11"/>
        <rFont val="Noto Sans JP"/>
        <family val="0"/>
        <charset val="1"/>
      </rPr>
      <t xml:space="preserve">150</t>
    </r>
    <r>
      <rPr>
        <sz val="11"/>
        <rFont val="WenQuanYi Zen Hei"/>
        <family val="2"/>
      </rPr>
      <t xml:space="preserve">台、</t>
    </r>
    <r>
      <rPr>
        <sz val="11"/>
        <rFont val="Noto Sans JP"/>
        <family val="0"/>
        <charset val="1"/>
      </rPr>
      <t xml:space="preserve">50%</t>
    </r>
    <r>
      <rPr>
        <sz val="11"/>
        <rFont val="WenQuanYi Zen Hei"/>
        <family val="2"/>
      </rPr>
      <t xml:space="preserve">。</t>
    </r>
  </si>
  <si>
    <r>
      <rPr>
        <sz val="11"/>
        <rFont val="WenQuanYi Zen Hei"/>
        <family val="2"/>
      </rPr>
      <t xml:space="preserve">不良が最も多い分類は「締結不良」で、</t>
    </r>
    <r>
      <rPr>
        <sz val="11"/>
        <rFont val="Noto Sans JP"/>
        <family val="0"/>
        <charset val="1"/>
      </rPr>
      <t xml:space="preserve">2026</t>
    </r>
    <r>
      <rPr>
        <sz val="11"/>
        <rFont val="WenQuanYi Zen Hei"/>
        <family val="2"/>
      </rPr>
      <t xml:space="preserve">年</t>
    </r>
    <r>
      <rPr>
        <sz val="11"/>
        <rFont val="Noto Sans JP"/>
        <family val="0"/>
        <charset val="1"/>
      </rPr>
      <t xml:space="preserve">9</t>
    </r>
    <r>
      <rPr>
        <sz val="11"/>
        <rFont val="WenQuanYi Zen Hei"/>
        <family val="2"/>
      </rPr>
      <t xml:space="preserve">月の不良</t>
    </r>
    <r>
      <rPr>
        <sz val="11"/>
        <rFont val="Noto Sans JP"/>
        <family val="0"/>
        <charset val="1"/>
      </rPr>
      <t xml:space="preserve">300</t>
    </r>
    <r>
      <rPr>
        <sz val="11"/>
        <rFont val="WenQuanYi Zen Hei"/>
        <family val="2"/>
      </rPr>
      <t xml:space="preserve">台のうち</t>
    </r>
    <r>
      <rPr>
        <sz val="11"/>
        <rFont val="Noto Sans JP"/>
        <family val="0"/>
        <charset val="1"/>
      </rPr>
      <t xml:space="preserve">150</t>
    </r>
    <r>
      <rPr>
        <sz val="11"/>
        <rFont val="WenQuanYi Zen Hei"/>
        <family val="2"/>
      </rPr>
      <t xml:space="preserve">台、構成比は</t>
    </r>
    <r>
      <rPr>
        <sz val="11"/>
        <rFont val="Noto Sans JP"/>
        <family val="0"/>
        <charset val="1"/>
      </rPr>
      <t xml:space="preserve">50%</t>
    </r>
    <r>
      <rPr>
        <sz val="11"/>
        <rFont val="WenQuanYi Zen Hei"/>
        <family val="2"/>
      </rPr>
      <t xml:space="preserve">です（出典：スライド</t>
    </r>
    <r>
      <rPr>
        <sz val="11"/>
        <rFont val="Noto Sans JP"/>
        <family val="0"/>
        <charset val="1"/>
      </rPr>
      <t xml:space="preserve">3</t>
    </r>
    <r>
      <rPr>
        <sz val="11"/>
        <rFont val="WenQuanYi Zen Hei"/>
        <family val="2"/>
      </rPr>
      <t xml:space="preserve">「不良の半数が締結不良」）。</t>
    </r>
  </si>
  <si>
    <t xml:space="preserve">/tmp/out/04-Q04.txt</t>
  </si>
  <si>
    <r>
      <rPr>
        <sz val="11"/>
        <rFont val="Noto Sans JP"/>
        <family val="0"/>
        <charset val="1"/>
      </rPr>
      <t xml:space="preserve">225</t>
    </r>
    <r>
      <rPr>
        <sz val="11"/>
        <rFont val="WenQuanYi Zen Hei"/>
        <family val="2"/>
      </rPr>
      <t xml:space="preserve">台、</t>
    </r>
    <r>
      <rPr>
        <sz val="11"/>
        <rFont val="Noto Sans JP"/>
        <family val="0"/>
        <charset val="1"/>
      </rPr>
      <t xml:space="preserve">75%</t>
    </r>
    <r>
      <rPr>
        <sz val="11"/>
        <rFont val="WenQuanYi Zen Hei"/>
        <family val="2"/>
      </rPr>
      <t xml:space="preserve">。</t>
    </r>
  </si>
  <si>
    <r>
      <rPr>
        <sz val="11"/>
        <rFont val="WenQuanYi Zen Hei"/>
        <family val="2"/>
      </rPr>
      <t xml:space="preserve">締結不良</t>
    </r>
    <r>
      <rPr>
        <sz val="11"/>
        <rFont val="Noto Sans JP"/>
        <family val="0"/>
        <charset val="1"/>
      </rPr>
      <t xml:space="preserve">150</t>
    </r>
    <r>
      <rPr>
        <sz val="11"/>
        <rFont val="WenQuanYi Zen Hei"/>
        <family val="2"/>
      </rPr>
      <t xml:space="preserve">台と傷</t>
    </r>
    <r>
      <rPr>
        <sz val="11"/>
        <rFont val="Noto Sans JP"/>
        <family val="0"/>
        <charset val="1"/>
      </rPr>
      <t xml:space="preserve">75</t>
    </r>
    <r>
      <rPr>
        <sz val="11"/>
        <rFont val="WenQuanYi Zen Hei"/>
        <family val="2"/>
      </rPr>
      <t xml:space="preserve">台を合わせた不良台数は</t>
    </r>
    <r>
      <rPr>
        <sz val="11"/>
        <rFont val="Noto Sans JP"/>
        <family val="0"/>
        <charset val="1"/>
      </rPr>
      <t xml:space="preserve">225</t>
    </r>
    <r>
      <rPr>
        <sz val="11"/>
        <rFont val="WenQuanYi Zen Hei"/>
        <family val="2"/>
      </rPr>
      <t xml:space="preserve">台で、構成比は</t>
    </r>
    <r>
      <rPr>
        <sz val="11"/>
        <rFont val="Noto Sans JP"/>
        <family val="0"/>
        <charset val="1"/>
      </rPr>
      <t xml:space="preserve">75%</t>
    </r>
    <r>
      <rPr>
        <sz val="11"/>
        <rFont val="WenQuanYi Zen Hei"/>
        <family val="2"/>
      </rPr>
      <t xml:space="preserve">（</t>
    </r>
    <r>
      <rPr>
        <sz val="11"/>
        <rFont val="Noto Sans JP"/>
        <family val="0"/>
        <charset val="1"/>
      </rPr>
      <t xml:space="preserve">50%</t>
    </r>
    <r>
      <rPr>
        <sz val="11"/>
        <rFont val="WenQuanYi Zen Hei"/>
        <family val="2"/>
      </rPr>
      <t xml:space="preserve">＋</t>
    </r>
    <r>
      <rPr>
        <sz val="11"/>
        <rFont val="Noto Sans JP"/>
        <family val="0"/>
        <charset val="1"/>
      </rPr>
      <t xml:space="preserve">25%</t>
    </r>
    <r>
      <rPr>
        <sz val="11"/>
        <rFont val="WenQuanYi Zen Hei"/>
        <family val="2"/>
      </rPr>
      <t xml:space="preserve">）です（</t>
    </r>
    <r>
      <rPr>
        <sz val="11"/>
        <rFont val="Noto Sans JP"/>
        <family val="0"/>
        <charset val="1"/>
      </rPr>
      <t xml:space="preserve">2026</t>
    </r>
    <r>
      <rPr>
        <sz val="11"/>
        <rFont val="WenQuanYi Zen Hei"/>
        <family val="2"/>
      </rPr>
      <t xml:space="preserve">年</t>
    </r>
    <r>
      <rPr>
        <sz val="11"/>
        <rFont val="Noto Sans JP"/>
        <family val="0"/>
        <charset val="1"/>
      </rPr>
      <t xml:space="preserve">9</t>
    </r>
    <r>
      <rPr>
        <sz val="11"/>
        <rFont val="WenQuanYi Zen Hei"/>
        <family val="2"/>
      </rPr>
      <t xml:space="preserve">月の不良</t>
    </r>
    <r>
      <rPr>
        <sz val="11"/>
        <rFont val="Noto Sans JP"/>
        <family val="0"/>
        <charset val="1"/>
      </rPr>
      <t xml:space="preserve">300</t>
    </r>
    <r>
      <rPr>
        <sz val="11"/>
        <rFont val="WenQuanYi Zen Hei"/>
        <family val="2"/>
      </rPr>
      <t xml:space="preserve">台の内訳、スライド</t>
    </r>
    <r>
      <rPr>
        <sz val="11"/>
        <rFont val="Noto Sans JP"/>
        <family val="0"/>
        <charset val="1"/>
      </rPr>
      <t xml:space="preserve">3</t>
    </r>
    <r>
      <rPr>
        <sz val="11"/>
        <rFont val="WenQuanYi Zen Hei"/>
        <family val="2"/>
      </rPr>
      <t xml:space="preserve">）。</t>
    </r>
  </si>
  <si>
    <t xml:space="preserve">/tmp/out/04-Q05.txt</t>
  </si>
  <si>
    <r>
      <rPr>
        <sz val="11"/>
        <rFont val="Noto Sans JP"/>
        <family val="0"/>
        <charset val="1"/>
      </rPr>
      <t xml:space="preserve">2026</t>
    </r>
    <r>
      <rPr>
        <sz val="11"/>
        <rFont val="WenQuanYi Zen Hei"/>
        <family val="2"/>
      </rPr>
      <t xml:space="preserve">年</t>
    </r>
    <r>
      <rPr>
        <sz val="11"/>
        <rFont val="Noto Sans JP"/>
        <family val="0"/>
        <charset val="1"/>
      </rPr>
      <t xml:space="preserve">8</t>
    </r>
    <r>
      <rPr>
        <sz val="11"/>
        <rFont val="WenQuanYi Zen Hei"/>
        <family val="2"/>
      </rPr>
      <t xml:space="preserve">月と</t>
    </r>
    <r>
      <rPr>
        <sz val="11"/>
        <rFont val="Noto Sans JP"/>
        <family val="0"/>
        <charset val="1"/>
      </rPr>
      <t xml:space="preserve">9</t>
    </r>
    <r>
      <rPr>
        <sz val="11"/>
        <rFont val="WenQuanYi Zen Hei"/>
        <family val="2"/>
      </rPr>
      <t xml:space="preserve">月。</t>
    </r>
  </si>
  <si>
    <r>
      <rPr>
        <sz val="11"/>
        <rFont val="WenQuanYi Zen Hei"/>
        <family val="2"/>
      </rPr>
      <t xml:space="preserve">不良率が</t>
    </r>
    <r>
      <rPr>
        <sz val="11"/>
        <rFont val="Noto Sans JP"/>
        <family val="0"/>
        <charset val="1"/>
      </rPr>
      <t xml:space="preserve">2.5%</t>
    </r>
    <r>
      <rPr>
        <sz val="11"/>
        <rFont val="WenQuanYi Zen Hei"/>
        <family val="2"/>
      </rPr>
      <t xml:space="preserve">を超えた月は、</t>
    </r>
    <r>
      <rPr>
        <sz val="11"/>
        <rFont val="Noto Sans JP"/>
        <family val="0"/>
        <charset val="1"/>
      </rPr>
      <t xml:space="preserve">2026</t>
    </r>
    <r>
      <rPr>
        <sz val="11"/>
        <rFont val="WenQuanYi Zen Hei"/>
        <family val="2"/>
      </rPr>
      <t xml:space="preserve">年</t>
    </r>
    <r>
      <rPr>
        <sz val="11"/>
        <rFont val="Noto Sans JP"/>
        <family val="0"/>
        <charset val="1"/>
      </rPr>
      <t xml:space="preserve">8</t>
    </r>
    <r>
      <rPr>
        <sz val="11"/>
        <rFont val="WenQuanYi Zen Hei"/>
        <family val="2"/>
      </rPr>
      <t xml:space="preserve">月（</t>
    </r>
    <r>
      <rPr>
        <sz val="11"/>
        <rFont val="Noto Sans JP"/>
        <family val="0"/>
        <charset val="1"/>
      </rPr>
      <t xml:space="preserve">2.8%</t>
    </r>
    <r>
      <rPr>
        <sz val="11"/>
        <rFont val="WenQuanYi Zen Hei"/>
        <family val="2"/>
      </rPr>
      <t xml:space="preserve">）と</t>
    </r>
    <r>
      <rPr>
        <sz val="11"/>
        <rFont val="Noto Sans JP"/>
        <family val="0"/>
        <charset val="1"/>
      </rPr>
      <t xml:space="preserve">9</t>
    </r>
    <r>
      <rPr>
        <sz val="11"/>
        <rFont val="WenQuanYi Zen Hei"/>
        <family val="2"/>
      </rPr>
      <t xml:space="preserve">月（</t>
    </r>
    <r>
      <rPr>
        <sz val="11"/>
        <rFont val="Noto Sans JP"/>
        <family val="0"/>
        <charset val="1"/>
      </rPr>
      <t xml:space="preserve">3.0%</t>
    </r>
    <r>
      <rPr>
        <sz val="11"/>
        <rFont val="WenQuanYi Zen Hei"/>
        <family val="2"/>
      </rPr>
      <t xml:space="preserve">）です（スライド</t>
    </r>
    <r>
      <rPr>
        <sz val="11"/>
        <rFont val="Noto Sans JP"/>
        <family val="0"/>
        <charset val="1"/>
      </rPr>
      <t xml:space="preserve">4</t>
    </r>
    <r>
      <rPr>
        <sz val="11"/>
        <rFont val="WenQuanYi Zen Hei"/>
        <family val="2"/>
      </rPr>
      <t xml:space="preserve">「</t>
    </r>
    <r>
      <rPr>
        <sz val="11"/>
        <rFont val="Noto Sans JP"/>
        <family val="0"/>
        <charset val="1"/>
      </rPr>
      <t xml:space="preserve">6</t>
    </r>
    <r>
      <rPr>
        <sz val="11"/>
        <rFont val="WenQuanYi Zen Hei"/>
        <family val="2"/>
      </rPr>
      <t xml:space="preserve">月以降、不良率が上昇」の月次工程内不良率グラフより。</t>
    </r>
    <r>
      <rPr>
        <sz val="11"/>
        <rFont val="Noto Sans JP"/>
        <family val="0"/>
        <charset val="1"/>
      </rPr>
      <t xml:space="preserve">6</t>
    </r>
    <r>
      <rPr>
        <sz val="11"/>
        <rFont val="WenQuanYi Zen Hei"/>
        <family val="2"/>
      </rPr>
      <t xml:space="preserve">月は</t>
    </r>
    <r>
      <rPr>
        <sz val="11"/>
        <rFont val="Noto Sans JP"/>
        <family val="0"/>
        <charset val="1"/>
      </rPr>
      <t xml:space="preserve">1.8%</t>
    </r>
    <r>
      <rPr>
        <sz val="11"/>
        <rFont val="WenQuanYi Zen Hei"/>
        <family val="2"/>
      </rPr>
      <t xml:space="preserve">、</t>
    </r>
    <r>
      <rPr>
        <sz val="11"/>
        <rFont val="Noto Sans JP"/>
        <family val="0"/>
        <charset val="1"/>
      </rPr>
      <t xml:space="preserve">7</t>
    </r>
    <r>
      <rPr>
        <sz val="11"/>
        <rFont val="WenQuanYi Zen Hei"/>
        <family val="2"/>
      </rPr>
      <t xml:space="preserve">月は</t>
    </r>
    <r>
      <rPr>
        <sz val="11"/>
        <rFont val="Noto Sans JP"/>
        <family val="0"/>
        <charset val="1"/>
      </rPr>
      <t xml:space="preserve">2.1%</t>
    </r>
    <r>
      <rPr>
        <sz val="11"/>
        <rFont val="WenQuanYi Zen Hei"/>
        <family val="2"/>
      </rPr>
      <t xml:space="preserve">で</t>
    </r>
    <r>
      <rPr>
        <sz val="11"/>
        <rFont val="Noto Sans JP"/>
        <family val="0"/>
        <charset val="1"/>
      </rPr>
      <t xml:space="preserve">2.5%</t>
    </r>
    <r>
      <rPr>
        <sz val="11"/>
        <rFont val="WenQuanYi Zen Hei"/>
        <family val="2"/>
      </rPr>
      <t xml:space="preserve">以下）。</t>
    </r>
  </si>
  <si>
    <t xml:space="preserve">/tmp/out/04-Q06.txt</t>
  </si>
  <si>
    <r>
      <rPr>
        <sz val="11"/>
        <rFont val="Noto Sans JP"/>
        <family val="0"/>
        <charset val="1"/>
      </rPr>
      <t xml:space="preserve">3.0</t>
    </r>
    <r>
      <rPr>
        <sz val="11"/>
        <rFont val="WenQuanYi Zen Hei"/>
        <family val="2"/>
      </rPr>
      <t xml:space="preserve">－</t>
    </r>
    <r>
      <rPr>
        <sz val="11"/>
        <rFont val="Noto Sans JP"/>
        <family val="0"/>
        <charset val="1"/>
      </rPr>
      <t xml:space="preserve">1.8</t>
    </r>
    <r>
      <rPr>
        <sz val="11"/>
        <rFont val="WenQuanYi Zen Hei"/>
        <family val="2"/>
      </rPr>
      <t xml:space="preserve">＝</t>
    </r>
    <r>
      <rPr>
        <sz val="11"/>
        <rFont val="Noto Sans JP"/>
        <family val="0"/>
        <charset val="1"/>
      </rPr>
      <t xml:space="preserve">1.2</t>
    </r>
    <r>
      <rPr>
        <sz val="11"/>
        <rFont val="WenQuanYi Zen Hei"/>
        <family val="2"/>
      </rPr>
      <t xml:space="preserve">ポイント上昇。</t>
    </r>
  </si>
  <si>
    <r>
      <rPr>
        <sz val="11"/>
        <rFont val="Noto Sans JP"/>
        <family val="0"/>
        <charset val="1"/>
      </rPr>
      <t xml:space="preserve">6</t>
    </r>
    <r>
      <rPr>
        <sz val="11"/>
        <rFont val="WenQuanYi Zen Hei"/>
        <family val="2"/>
      </rPr>
      <t xml:space="preserve">月の</t>
    </r>
    <r>
      <rPr>
        <sz val="11"/>
        <rFont val="Noto Sans JP"/>
        <family val="0"/>
        <charset val="1"/>
      </rPr>
      <t xml:space="preserve">1.8%</t>
    </r>
    <r>
      <rPr>
        <sz val="11"/>
        <rFont val="WenQuanYi Zen Hei"/>
        <family val="2"/>
      </rPr>
      <t xml:space="preserve">から</t>
    </r>
    <r>
      <rPr>
        <sz val="11"/>
        <rFont val="Noto Sans JP"/>
        <family val="0"/>
        <charset val="1"/>
      </rPr>
      <t xml:space="preserve">9</t>
    </r>
    <r>
      <rPr>
        <sz val="11"/>
        <rFont val="WenQuanYi Zen Hei"/>
        <family val="2"/>
      </rPr>
      <t xml:space="preserve">月の</t>
    </r>
    <r>
      <rPr>
        <sz val="11"/>
        <rFont val="Noto Sans JP"/>
        <family val="0"/>
        <charset val="1"/>
      </rPr>
      <t xml:space="preserve">3.0%</t>
    </r>
    <r>
      <rPr>
        <sz val="11"/>
        <rFont val="WenQuanYi Zen Hei"/>
        <family val="2"/>
      </rPr>
      <t xml:space="preserve">へ、</t>
    </r>
    <r>
      <rPr>
        <sz val="11"/>
        <rFont val="Noto Sans JP"/>
        <family val="0"/>
        <charset val="1"/>
      </rPr>
      <t xml:space="preserve">1.2</t>
    </r>
    <r>
      <rPr>
        <sz val="11"/>
        <rFont val="WenQuanYi Zen Hei"/>
        <family val="2"/>
      </rPr>
      <t xml:space="preserve">ポイント上昇しました（</t>
    </r>
    <r>
      <rPr>
        <sz val="11"/>
        <rFont val="Noto Sans JP"/>
        <family val="0"/>
        <charset val="1"/>
      </rPr>
      <t xml:space="preserve">6</t>
    </r>
    <r>
      <rPr>
        <sz val="11"/>
        <rFont val="WenQuanYi Zen Hei"/>
        <family val="2"/>
      </rPr>
      <t xml:space="preserve">月</t>
    </r>
    <r>
      <rPr>
        <sz val="11"/>
        <rFont val="Noto Sans JP"/>
        <family val="0"/>
        <charset val="1"/>
      </rPr>
      <t xml:space="preserve">1.8%→7</t>
    </r>
    <r>
      <rPr>
        <sz val="11"/>
        <rFont val="WenQuanYi Zen Hei"/>
        <family val="2"/>
      </rPr>
      <t xml:space="preserve">月</t>
    </r>
    <r>
      <rPr>
        <sz val="11"/>
        <rFont val="Noto Sans JP"/>
        <family val="0"/>
        <charset val="1"/>
      </rPr>
      <t xml:space="preserve">2.1%→8</t>
    </r>
    <r>
      <rPr>
        <sz val="11"/>
        <rFont val="WenQuanYi Zen Hei"/>
        <family val="2"/>
      </rPr>
      <t xml:space="preserve">月</t>
    </r>
    <r>
      <rPr>
        <sz val="11"/>
        <rFont val="Noto Sans JP"/>
        <family val="0"/>
        <charset val="1"/>
      </rPr>
      <t xml:space="preserve">2.8%→9</t>
    </r>
    <r>
      <rPr>
        <sz val="11"/>
        <rFont val="WenQuanYi Zen Hei"/>
        <family val="2"/>
      </rPr>
      <t xml:space="preserve">月</t>
    </r>
    <r>
      <rPr>
        <sz val="11"/>
        <rFont val="Noto Sans JP"/>
        <family val="0"/>
        <charset val="1"/>
      </rPr>
      <t xml:space="preserve">3.0%</t>
    </r>
    <r>
      <rPr>
        <sz val="11"/>
        <rFont val="WenQuanYi Zen Hei"/>
        <family val="2"/>
      </rPr>
      <t xml:space="preserve">。資料スライド</t>
    </r>
    <r>
      <rPr>
        <sz val="11"/>
        <rFont val="Noto Sans JP"/>
        <family val="0"/>
        <charset val="1"/>
      </rPr>
      <t xml:space="preserve">4</t>
    </r>
    <r>
      <rPr>
        <sz val="11"/>
        <rFont val="WenQuanYi Zen Hei"/>
        <family val="2"/>
      </rPr>
      <t xml:space="preserve">「</t>
    </r>
    <r>
      <rPr>
        <sz val="11"/>
        <rFont val="Noto Sans JP"/>
        <family val="0"/>
        <charset val="1"/>
      </rPr>
      <t xml:space="preserve">6</t>
    </r>
    <r>
      <rPr>
        <sz val="11"/>
        <rFont val="WenQuanYi Zen Hei"/>
        <family val="2"/>
      </rPr>
      <t xml:space="preserve">月比＋</t>
    </r>
    <r>
      <rPr>
        <sz val="11"/>
        <rFont val="Noto Sans JP"/>
        <family val="0"/>
        <charset val="1"/>
      </rPr>
      <t xml:space="preserve">1.2</t>
    </r>
    <r>
      <rPr>
        <sz val="11"/>
        <rFont val="WenQuanYi Zen Hei"/>
        <family val="2"/>
      </rPr>
      <t xml:space="preserve">ポイント」）。</t>
    </r>
  </si>
  <si>
    <t xml:space="preserve">/tmp/out/04-Q07.txt</t>
  </si>
  <si>
    <r>
      <rPr>
        <sz val="11"/>
        <rFont val="Noto Sans JP"/>
        <family val="0"/>
        <charset val="1"/>
      </rPr>
      <t xml:space="preserve">10,000×1.8%</t>
    </r>
    <r>
      <rPr>
        <sz val="11"/>
        <rFont val="WenQuanYi Zen Hei"/>
        <family val="2"/>
      </rPr>
      <t xml:space="preserve">＝</t>
    </r>
    <r>
      <rPr>
        <sz val="11"/>
        <rFont val="Noto Sans JP"/>
        <family val="0"/>
        <charset val="1"/>
      </rPr>
      <t xml:space="preserve">180</t>
    </r>
    <r>
      <rPr>
        <sz val="11"/>
        <rFont val="WenQuanYi Zen Hei"/>
        <family val="2"/>
      </rPr>
      <t xml:space="preserve">台。</t>
    </r>
  </si>
  <si>
    <r>
      <rPr>
        <sz val="11"/>
        <rFont val="Noto Sans JP"/>
        <family val="0"/>
        <charset val="1"/>
      </rPr>
      <t xml:space="preserve">6</t>
    </r>
    <r>
      <rPr>
        <sz val="11"/>
        <rFont val="WenQuanYi Zen Hei"/>
        <family val="2"/>
      </rPr>
      <t xml:space="preserve">月の不良台数：</t>
    </r>
    <r>
      <rPr>
        <sz val="11"/>
        <rFont val="Noto Sans JP"/>
        <family val="0"/>
        <charset val="1"/>
      </rPr>
      <t xml:space="preserve">180</t>
    </r>
    <r>
      <rPr>
        <sz val="11"/>
        <rFont val="WenQuanYi Zen Hei"/>
        <family val="2"/>
      </rPr>
      <t xml:space="preserve">台
根拠：スライド</t>
    </r>
    <r>
      <rPr>
        <sz val="11"/>
        <rFont val="Noto Sans JP"/>
        <family val="0"/>
        <charset val="1"/>
      </rPr>
      <t xml:space="preserve">4</t>
    </r>
    <r>
      <rPr>
        <sz val="11"/>
        <rFont val="WenQuanYi Zen Hei"/>
        <family val="2"/>
      </rPr>
      <t xml:space="preserve">のグラフで</t>
    </r>
    <r>
      <rPr>
        <sz val="11"/>
        <rFont val="Noto Sans JP"/>
        <family val="0"/>
        <charset val="1"/>
      </rPr>
      <t xml:space="preserve">6</t>
    </r>
    <r>
      <rPr>
        <sz val="11"/>
        <rFont val="WenQuanYi Zen Hei"/>
        <family val="2"/>
      </rPr>
      <t xml:space="preserve">月の工程内不良率は</t>
    </r>
    <r>
      <rPr>
        <sz val="11"/>
        <rFont val="Noto Sans JP"/>
        <family val="0"/>
        <charset val="1"/>
      </rPr>
      <t xml:space="preserve">1.8%</t>
    </r>
    <r>
      <rPr>
        <sz val="11"/>
        <rFont val="WenQuanYi Zen Hei"/>
        <family val="2"/>
      </rPr>
      <t xml:space="preserve">、補足に「生産：毎月</t>
    </r>
    <r>
      <rPr>
        <sz val="11"/>
        <rFont val="Noto Sans JP"/>
        <family val="0"/>
        <charset val="1"/>
      </rPr>
      <t xml:space="preserve">10,000</t>
    </r>
    <r>
      <rPr>
        <sz val="11"/>
        <rFont val="WenQuanYi Zen Hei"/>
        <family val="2"/>
      </rPr>
      <t xml:space="preserve">台」とあるため、</t>
    </r>
    <r>
      <rPr>
        <sz val="11"/>
        <rFont val="Noto Sans JP"/>
        <family val="0"/>
        <charset val="1"/>
      </rPr>
      <t xml:space="preserve">10,000</t>
    </r>
    <r>
      <rPr>
        <sz val="11"/>
        <rFont val="WenQuanYi Zen Hei"/>
        <family val="2"/>
      </rPr>
      <t xml:space="preserve">台 </t>
    </r>
    <r>
      <rPr>
        <sz val="11"/>
        <rFont val="Noto Sans JP"/>
        <family val="0"/>
        <charset val="1"/>
      </rPr>
      <t xml:space="preserve">× 1.8% = 180</t>
    </r>
    <r>
      <rPr>
        <sz val="11"/>
        <rFont val="WenQuanYi Zen Hei"/>
        <family val="2"/>
      </rPr>
      <t xml:space="preserve">台。
（注：</t>
    </r>
    <r>
      <rPr>
        <sz val="11"/>
        <rFont val="Noto Sans JP"/>
        <family val="0"/>
        <charset val="1"/>
      </rPr>
      <t xml:space="preserve">6</t>
    </r>
    <r>
      <rPr>
        <sz val="11"/>
        <rFont val="WenQuanYi Zen Hei"/>
        <family val="2"/>
      </rPr>
      <t xml:space="preserve">月の不良台数そのものは資料に直接記載されておらず、不良率と生産台数からの算出値です。）</t>
    </r>
  </si>
  <si>
    <t xml:space="preserve">/tmp/out/04-Q08.txt</t>
  </si>
  <si>
    <t xml:space="preserve">確定していない。原因は仮説段階で、比較試験により検証する。</t>
  </si>
  <si>
    <r>
      <rPr>
        <sz val="11"/>
        <rFont val="WenQuanYi Zen Hei"/>
        <family val="2"/>
      </rPr>
      <t xml:space="preserve">いいえ、確定していません。
資料では、工具のばらつきは締結不良の原因仮説の一つという扱いです（スライド</t>
    </r>
    <r>
      <rPr>
        <sz val="11"/>
        <rFont val="Noto Sans JP"/>
        <family val="0"/>
        <charset val="1"/>
      </rPr>
      <t xml:space="preserve">5</t>
    </r>
    <r>
      <rPr>
        <sz val="11"/>
        <rFont val="WenQuanYi Zen Hei"/>
        <family val="2"/>
      </rPr>
      <t xml:space="preserve">）。スライド</t>
    </r>
    <r>
      <rPr>
        <sz val="11"/>
        <rFont val="Noto Sans JP"/>
        <family val="0"/>
        <charset val="1"/>
      </rPr>
      <t xml:space="preserve">5</t>
    </r>
    <r>
      <rPr>
        <sz val="11"/>
        <rFont val="WenQuanYi Zen Hei"/>
        <family val="2"/>
      </rPr>
      <t xml:space="preserve">の見出しは「原因は仮説段階。比較試験で対策の効果を確認する」で、注記には「観察のみで因果関係が確定したとは扱わない」とあります。
</t>
    </r>
    <r>
      <rPr>
        <sz val="11"/>
        <rFont val="Noto Sans JP"/>
        <family val="0"/>
        <charset val="1"/>
      </rPr>
      <t xml:space="preserve">- </t>
    </r>
    <r>
      <rPr>
        <sz val="11"/>
        <rFont val="WenQuanYi Zen Hei"/>
        <family val="2"/>
      </rPr>
      <t xml:space="preserve">工具のばらつき：旧工具でトルク変動が観察されている。校正前後の測定で検証する予定。
</t>
    </r>
    <r>
      <rPr>
        <sz val="11"/>
        <rFont val="Noto Sans JP"/>
        <family val="0"/>
        <charset val="1"/>
      </rPr>
      <t xml:space="preserve">- </t>
    </r>
    <r>
      <rPr>
        <sz val="11"/>
        <rFont val="WenQuanYi Zen Hei"/>
        <family val="2"/>
      </rPr>
      <t xml:space="preserve">設定の誤り：品番切替時に手動入力している。設定の自動読込を試験して検証する予定。
</t>
    </r>
    <r>
      <rPr>
        <sz val="11"/>
        <rFont val="Noto Sans JP"/>
        <family val="0"/>
        <charset val="1"/>
      </rPr>
      <t xml:space="preserve">- </t>
    </r>
    <r>
      <rPr>
        <sz val="11"/>
        <rFont val="WenQuanYi Zen Hei"/>
        <family val="2"/>
      </rPr>
      <t xml:space="preserve">作業手順の差：締付順序が班によって異なる。標準手順の教育前後を比較して検証する予定。
工具以外に、設定の誤りと作業手順の差も仮説に並んでいます。効果は</t>
    </r>
    <r>
      <rPr>
        <sz val="11"/>
        <rFont val="Noto Sans JP"/>
        <family val="0"/>
        <charset val="1"/>
      </rPr>
      <t xml:space="preserve">12/1</t>
    </r>
    <r>
      <rPr>
        <sz val="11"/>
        <rFont val="WenQuanYi Zen Hei"/>
        <family val="2"/>
      </rPr>
      <t xml:space="preserve">～</t>
    </r>
    <r>
      <rPr>
        <sz val="11"/>
        <rFont val="Noto Sans JP"/>
        <family val="0"/>
        <charset val="1"/>
      </rPr>
      <t xml:space="preserve">12/11</t>
    </r>
    <r>
      <rPr>
        <sz val="11"/>
        <rFont val="WenQuanYi Zen Hei"/>
        <family val="2"/>
      </rPr>
      <t xml:space="preserve">の試行（各</t>
    </r>
    <r>
      <rPr>
        <sz val="11"/>
        <rFont val="Noto Sans JP"/>
        <family val="0"/>
        <charset val="1"/>
      </rPr>
      <t xml:space="preserve">500</t>
    </r>
    <r>
      <rPr>
        <sz val="11"/>
        <rFont val="WenQuanYi Zen Hei"/>
        <family val="2"/>
      </rPr>
      <t xml:space="preserve">台の前後比較）で確認する計画ですが、試行後の実績値はまだ取得されていません（スライド</t>
    </r>
    <r>
      <rPr>
        <sz val="11"/>
        <rFont val="Noto Sans JP"/>
        <family val="0"/>
        <charset val="1"/>
      </rPr>
      <t xml:space="preserve">7</t>
    </r>
    <r>
      <rPr>
        <sz val="11"/>
        <rFont val="WenQuanYi Zen Hei"/>
        <family val="2"/>
      </rPr>
      <t xml:space="preserve">）。</t>
    </r>
  </si>
  <si>
    <t xml:space="preserve">/tmp/out/04-Q09.txt</t>
  </si>
  <si>
    <r>
      <rPr>
        <sz val="11"/>
        <rFont val="WenQuanYi Zen Hei"/>
        <family val="2"/>
      </rPr>
      <t xml:space="preserve">設備担当、</t>
    </r>
    <r>
      <rPr>
        <sz val="11"/>
        <rFont val="Noto Sans JP"/>
        <family val="0"/>
        <charset val="1"/>
      </rPr>
      <t xml:space="preserve">2026</t>
    </r>
    <r>
      <rPr>
        <sz val="11"/>
        <rFont val="WenQuanYi Zen Hei"/>
        <family val="2"/>
      </rPr>
      <t xml:space="preserve">年</t>
    </r>
    <r>
      <rPr>
        <sz val="11"/>
        <rFont val="Noto Sans JP"/>
        <family val="0"/>
        <charset val="1"/>
      </rPr>
      <t xml:space="preserve">11</t>
    </r>
    <r>
      <rPr>
        <sz val="11"/>
        <rFont val="WenQuanYi Zen Hei"/>
        <family val="2"/>
      </rPr>
      <t xml:space="preserve">月</t>
    </r>
    <r>
      <rPr>
        <sz val="11"/>
        <rFont val="Noto Sans JP"/>
        <family val="0"/>
        <charset val="1"/>
      </rPr>
      <t xml:space="preserve">27</t>
    </r>
    <r>
      <rPr>
        <sz val="11"/>
        <rFont val="WenQuanYi Zen Hei"/>
        <family val="2"/>
      </rPr>
      <t xml:space="preserve">日。</t>
    </r>
  </si>
  <si>
    <r>
      <rPr>
        <sz val="11"/>
        <rFont val="WenQuanYi Zen Hei"/>
        <family val="2"/>
      </rPr>
      <t xml:space="preserve">担当：設備担当、期限：</t>
    </r>
    <r>
      <rPr>
        <sz val="11"/>
        <rFont val="Noto Sans JP"/>
        <family val="0"/>
        <charset val="1"/>
      </rPr>
      <t xml:space="preserve">2026</t>
    </r>
    <r>
      <rPr>
        <sz val="11"/>
        <rFont val="WenQuanYi Zen Hei"/>
        <family val="2"/>
      </rPr>
      <t xml:space="preserve">年</t>
    </r>
    <r>
      <rPr>
        <sz val="11"/>
        <rFont val="Noto Sans JP"/>
        <family val="0"/>
        <charset val="1"/>
      </rPr>
      <t xml:space="preserve">11</t>
    </r>
    <r>
      <rPr>
        <sz val="11"/>
        <rFont val="WenQuanYi Zen Hei"/>
        <family val="2"/>
      </rPr>
      <t xml:space="preserve">月</t>
    </r>
    <r>
      <rPr>
        <sz val="11"/>
        <rFont val="Noto Sans JP"/>
        <family val="0"/>
        <charset val="1"/>
      </rPr>
      <t xml:space="preserve">27</t>
    </r>
    <r>
      <rPr>
        <sz val="11"/>
        <rFont val="WenQuanYi Zen Hei"/>
        <family val="2"/>
      </rPr>
      <t xml:space="preserve">日</t>
    </r>
  </si>
  <si>
    <t xml:space="preserve">/tmp/out/04-Q10.txt</t>
  </si>
  <si>
    <r>
      <rPr>
        <sz val="11"/>
        <rFont val="Noto Sans JP"/>
        <family val="0"/>
        <charset val="1"/>
      </rPr>
      <t xml:space="preserve">500</t>
    </r>
    <r>
      <rPr>
        <sz val="11"/>
        <rFont val="WenQuanYi Zen Hei"/>
        <family val="2"/>
      </rPr>
      <t xml:space="preserve">台中の全不良</t>
    </r>
    <r>
      <rPr>
        <sz val="11"/>
        <rFont val="Noto Sans JP"/>
        <family val="0"/>
        <charset val="1"/>
      </rPr>
      <t xml:space="preserve">5</t>
    </r>
    <r>
      <rPr>
        <sz val="11"/>
        <rFont val="WenQuanYi Zen Hei"/>
        <family val="2"/>
      </rPr>
      <t xml:space="preserve">台以下、締結不良</t>
    </r>
    <r>
      <rPr>
        <sz val="11"/>
        <rFont val="Noto Sans JP"/>
        <family val="0"/>
        <charset val="1"/>
      </rPr>
      <t xml:space="preserve">2</t>
    </r>
    <r>
      <rPr>
        <sz val="11"/>
        <rFont val="WenQuanYi Zen Hei"/>
        <family val="2"/>
      </rPr>
      <t xml:space="preserve">台以下。</t>
    </r>
  </si>
  <si>
    <r>
      <rPr>
        <sz val="11"/>
        <rFont val="WenQuanYi Zen Hei"/>
        <family val="2"/>
      </rPr>
      <t xml:space="preserve">試行後の品質条件は次の</t>
    </r>
    <r>
      <rPr>
        <sz val="11"/>
        <rFont val="Noto Sans JP"/>
        <family val="0"/>
        <charset val="1"/>
      </rPr>
      <t xml:space="preserve">2</t>
    </r>
    <r>
      <rPr>
        <sz val="11"/>
        <rFont val="WenQuanYi Zen Hei"/>
        <family val="2"/>
      </rPr>
      <t xml:space="preserve">つです（試行</t>
    </r>
    <r>
      <rPr>
        <sz val="11"/>
        <rFont val="Noto Sans JP"/>
        <family val="0"/>
        <charset val="1"/>
      </rPr>
      <t xml:space="preserve">500</t>
    </r>
    <r>
      <rPr>
        <sz val="11"/>
        <rFont val="WenQuanYi Zen Hei"/>
        <family val="2"/>
      </rPr>
      <t xml:space="preserve">台での合格条件）。
</t>
    </r>
    <r>
      <rPr>
        <sz val="11"/>
        <rFont val="Noto Sans JP"/>
        <family val="0"/>
        <charset val="1"/>
      </rPr>
      <t xml:space="preserve">1. </t>
    </r>
    <r>
      <rPr>
        <sz val="11"/>
        <rFont val="WenQuanYi Zen Hei"/>
        <family val="2"/>
      </rPr>
      <t xml:space="preserve">全不良台数：</t>
    </r>
    <r>
      <rPr>
        <sz val="11"/>
        <rFont val="Noto Sans JP"/>
        <family val="0"/>
        <charset val="1"/>
      </rPr>
      <t xml:space="preserve">5</t>
    </r>
    <r>
      <rPr>
        <sz val="11"/>
        <rFont val="WenQuanYi Zen Hei"/>
        <family val="2"/>
      </rPr>
      <t xml:space="preserve">台以下（試行前は</t>
    </r>
    <r>
      <rPr>
        <sz val="11"/>
        <rFont val="Noto Sans JP"/>
        <family val="0"/>
        <charset val="1"/>
      </rPr>
      <t xml:space="preserve">15</t>
    </r>
    <r>
      <rPr>
        <sz val="11"/>
        <rFont val="WenQuanYi Zen Hei"/>
        <family val="2"/>
      </rPr>
      <t xml:space="preserve">台）
</t>
    </r>
    <r>
      <rPr>
        <sz val="11"/>
        <rFont val="Noto Sans JP"/>
        <family val="0"/>
        <charset val="1"/>
      </rPr>
      <t xml:space="preserve">2. </t>
    </r>
    <r>
      <rPr>
        <sz val="11"/>
        <rFont val="WenQuanYi Zen Hei"/>
        <family val="2"/>
      </rPr>
      <t xml:space="preserve">締結不良台数：</t>
    </r>
    <r>
      <rPr>
        <sz val="11"/>
        <rFont val="Noto Sans JP"/>
        <family val="0"/>
        <charset val="1"/>
      </rPr>
      <t xml:space="preserve">2</t>
    </r>
    <r>
      <rPr>
        <sz val="11"/>
        <rFont val="WenQuanYi Zen Hei"/>
        <family val="2"/>
      </rPr>
      <t xml:space="preserve">台以下（試行前は</t>
    </r>
    <r>
      <rPr>
        <sz val="11"/>
        <rFont val="Noto Sans JP"/>
        <family val="0"/>
        <charset val="1"/>
      </rPr>
      <t xml:space="preserve">8</t>
    </r>
    <r>
      <rPr>
        <sz val="11"/>
        <rFont val="WenQuanYi Zen Hei"/>
        <family val="2"/>
      </rPr>
      <t xml:space="preserve">台）
出典：スライド</t>
    </r>
    <r>
      <rPr>
        <sz val="11"/>
        <rFont val="Noto Sans JP"/>
        <family val="0"/>
        <charset val="1"/>
      </rPr>
      <t xml:space="preserve">7</t>
    </r>
    <r>
      <rPr>
        <sz val="11"/>
        <rFont val="WenQuanYi Zen Hei"/>
        <family val="2"/>
      </rPr>
      <t xml:space="preserve">「試行は各</t>
    </r>
    <r>
      <rPr>
        <sz val="11"/>
        <rFont val="Noto Sans JP"/>
        <family val="0"/>
        <charset val="1"/>
      </rPr>
      <t xml:space="preserve">500</t>
    </r>
    <r>
      <rPr>
        <sz val="11"/>
        <rFont val="WenQuanYi Zen Hei"/>
        <family val="2"/>
      </rPr>
      <t xml:space="preserve">台で前後比較する」の表。
（参考：平均サイクルタイム</t>
    </r>
    <r>
      <rPr>
        <sz val="11"/>
        <rFont val="Noto Sans JP"/>
        <family val="0"/>
        <charset val="1"/>
      </rPr>
      <t xml:space="preserve">63</t>
    </r>
    <r>
      <rPr>
        <sz val="11"/>
        <rFont val="WenQuanYi Zen Hei"/>
        <family val="2"/>
      </rPr>
      <t xml:space="preserve">秒／台以下は生産性の条件で、品質条件には含めていません。本格導入には品質条件と生産性条件の両方を満たす必要があります。なお、試行後の実績値はまだ取れていません。）</t>
    </r>
  </si>
  <si>
    <t xml:space="preserve">/tmp/out/04-Q11.txt</t>
  </si>
  <si>
    <r>
      <rPr>
        <sz val="11"/>
        <rFont val="WenQuanYi Zen Hei"/>
        <family val="2"/>
      </rPr>
      <t xml:space="preserve">不合格。平均サイクルタイムが</t>
    </r>
    <r>
      <rPr>
        <sz val="11"/>
        <rFont val="Noto Sans JP"/>
        <family val="0"/>
        <charset val="1"/>
      </rPr>
      <t xml:space="preserve">63</t>
    </r>
    <r>
      <rPr>
        <sz val="11"/>
        <rFont val="WenQuanYi Zen Hei"/>
        <family val="2"/>
      </rPr>
      <t xml:space="preserve">秒以下の条件を満たさない。</t>
    </r>
  </si>
  <si>
    <r>
      <rPr>
        <sz val="11"/>
        <rFont val="WenQuanYi Zen Hei"/>
        <family val="2"/>
      </rPr>
      <t xml:space="preserve">不合格です（本格導入の条件を満たしません）。
スライド</t>
    </r>
    <r>
      <rPr>
        <sz val="11"/>
        <rFont val="Noto Sans JP"/>
        <family val="0"/>
        <charset val="1"/>
      </rPr>
      <t xml:space="preserve">7</t>
    </r>
    <r>
      <rPr>
        <sz val="11"/>
        <rFont val="WenQuanYi Zen Hei"/>
        <family val="2"/>
      </rPr>
      <t xml:space="preserve">の試行後の合格条件と照らすと次のとおりです。
</t>
    </r>
    <r>
      <rPr>
        <sz val="11"/>
        <rFont val="Noto Sans JP"/>
        <family val="0"/>
        <charset val="1"/>
      </rPr>
      <t xml:space="preserve">- </t>
    </r>
    <r>
      <rPr>
        <sz val="11"/>
        <rFont val="WenQuanYi Zen Hei"/>
        <family val="2"/>
      </rPr>
      <t xml:space="preserve">全不良台数：</t>
    </r>
    <r>
      <rPr>
        <sz val="11"/>
        <rFont val="Noto Sans JP"/>
        <family val="0"/>
        <charset val="1"/>
      </rPr>
      <t xml:space="preserve">4</t>
    </r>
    <r>
      <rPr>
        <sz val="11"/>
        <rFont val="WenQuanYi Zen Hei"/>
        <family val="2"/>
      </rPr>
      <t xml:space="preserve">台 → 条件「</t>
    </r>
    <r>
      <rPr>
        <sz val="11"/>
        <rFont val="Noto Sans JP"/>
        <family val="0"/>
        <charset val="1"/>
      </rPr>
      <t xml:space="preserve">5</t>
    </r>
    <r>
      <rPr>
        <sz val="11"/>
        <rFont val="WenQuanYi Zen Hei"/>
        <family val="2"/>
      </rPr>
      <t xml:space="preserve">台以下」を満たす
</t>
    </r>
    <r>
      <rPr>
        <sz val="11"/>
        <rFont val="Noto Sans JP"/>
        <family val="0"/>
        <charset val="1"/>
      </rPr>
      <t xml:space="preserve">- </t>
    </r>
    <r>
      <rPr>
        <sz val="11"/>
        <rFont val="WenQuanYi Zen Hei"/>
        <family val="2"/>
      </rPr>
      <t xml:space="preserve">締結不良台数：</t>
    </r>
    <r>
      <rPr>
        <sz val="11"/>
        <rFont val="Noto Sans JP"/>
        <family val="0"/>
        <charset val="1"/>
      </rPr>
      <t xml:space="preserve">2</t>
    </r>
    <r>
      <rPr>
        <sz val="11"/>
        <rFont val="WenQuanYi Zen Hei"/>
        <family val="2"/>
      </rPr>
      <t xml:space="preserve">台 → 条件「</t>
    </r>
    <r>
      <rPr>
        <sz val="11"/>
        <rFont val="Noto Sans JP"/>
        <family val="0"/>
        <charset val="1"/>
      </rPr>
      <t xml:space="preserve">2</t>
    </r>
    <r>
      <rPr>
        <sz val="11"/>
        <rFont val="WenQuanYi Zen Hei"/>
        <family val="2"/>
      </rPr>
      <t xml:space="preserve">台以下」を満たす（ちょうど上限）
</t>
    </r>
    <r>
      <rPr>
        <sz val="11"/>
        <rFont val="Noto Sans JP"/>
        <family val="0"/>
        <charset val="1"/>
      </rPr>
      <t xml:space="preserve">- </t>
    </r>
    <r>
      <rPr>
        <sz val="11"/>
        <rFont val="WenQuanYi Zen Hei"/>
        <family val="2"/>
      </rPr>
      <t xml:space="preserve">平均サイクルタイム：</t>
    </r>
    <r>
      <rPr>
        <sz val="11"/>
        <rFont val="Noto Sans JP"/>
        <family val="0"/>
        <charset val="1"/>
      </rPr>
      <t xml:space="preserve">64</t>
    </r>
    <r>
      <rPr>
        <sz val="11"/>
        <rFont val="WenQuanYi Zen Hei"/>
        <family val="2"/>
      </rPr>
      <t xml:space="preserve">秒／台 → 条件「</t>
    </r>
    <r>
      <rPr>
        <sz val="11"/>
        <rFont val="Noto Sans JP"/>
        <family val="0"/>
        <charset val="1"/>
      </rPr>
      <t xml:space="preserve">63</t>
    </r>
    <r>
      <rPr>
        <sz val="11"/>
        <rFont val="WenQuanYi Zen Hei"/>
        <family val="2"/>
      </rPr>
      <t xml:space="preserve">秒／台以下」を</t>
    </r>
    <r>
      <rPr>
        <sz val="11"/>
        <rFont val="Noto Sans JP"/>
        <family val="0"/>
        <charset val="1"/>
      </rPr>
      <t xml:space="preserve">1</t>
    </r>
    <r>
      <rPr>
        <sz val="11"/>
        <rFont val="WenQuanYi Zen Hei"/>
        <family val="2"/>
      </rPr>
      <t xml:space="preserve">秒超過し、満たさない
資料では「本格導入は品質条件と生産性条件を両方満たす場合に限る」とされているため、品質条件は満たしていても、生産性条件（サイクルタイム）が未達なので合格にはなりません。
なお、この判定は試行の生産台数が条件どおり</t>
    </r>
    <r>
      <rPr>
        <sz val="11"/>
        <rFont val="Noto Sans JP"/>
        <family val="0"/>
        <charset val="1"/>
      </rPr>
      <t xml:space="preserve">500</t>
    </r>
    <r>
      <rPr>
        <sz val="11"/>
        <rFont val="WenQuanYi Zen Hei"/>
        <family val="2"/>
      </rPr>
      <t xml:space="preserve">台であることを前提としています。また、試行判定は</t>
    </r>
    <r>
      <rPr>
        <sz val="11"/>
        <rFont val="Noto Sans JP"/>
        <family val="0"/>
        <charset val="1"/>
      </rPr>
      <t xml:space="preserve">2026</t>
    </r>
    <r>
      <rPr>
        <sz val="11"/>
        <rFont val="WenQuanYi Zen Hei"/>
        <family val="2"/>
      </rPr>
      <t xml:space="preserve">年</t>
    </r>
    <r>
      <rPr>
        <sz val="11"/>
        <rFont val="Noto Sans JP"/>
        <family val="0"/>
        <charset val="1"/>
      </rPr>
      <t xml:space="preserve">12</t>
    </r>
    <r>
      <rPr>
        <sz val="11"/>
        <rFont val="WenQuanYi Zen Hei"/>
        <family val="2"/>
      </rPr>
      <t xml:space="preserve">月</t>
    </r>
    <r>
      <rPr>
        <sz val="11"/>
        <rFont val="Noto Sans JP"/>
        <family val="0"/>
        <charset val="1"/>
      </rPr>
      <t xml:space="preserve">14</t>
    </r>
    <r>
      <rPr>
        <sz val="11"/>
        <rFont val="WenQuanYi Zen Hei"/>
        <family val="2"/>
      </rPr>
      <t xml:space="preserve">日に品質保証部長が行うことになっています（スライド</t>
    </r>
    <r>
      <rPr>
        <sz val="11"/>
        <rFont val="Noto Sans JP"/>
        <family val="0"/>
        <charset val="1"/>
      </rPr>
      <t xml:space="preserve">10</t>
    </r>
    <r>
      <rPr>
        <sz val="11"/>
        <rFont val="WenQuanYi Zen Hei"/>
        <family val="2"/>
      </rPr>
      <t xml:space="preserve">）。</t>
    </r>
  </si>
  <si>
    <t xml:space="preserve">/tmp/out/04-Q12.txt</t>
  </si>
  <si>
    <r>
      <rPr>
        <sz val="11"/>
        <rFont val="Noto Sans JP"/>
        <family val="0"/>
        <charset val="1"/>
      </rPr>
      <t xml:space="preserve">(63</t>
    </r>
    <r>
      <rPr>
        <sz val="11"/>
        <rFont val="WenQuanYi Zen Hei"/>
        <family val="2"/>
      </rPr>
      <t xml:space="preserve">－</t>
    </r>
    <r>
      <rPr>
        <sz val="11"/>
        <rFont val="Noto Sans JP"/>
        <family val="0"/>
        <charset val="1"/>
      </rPr>
      <t xml:space="preserve">60)÷60×100</t>
    </r>
    <r>
      <rPr>
        <sz val="11"/>
        <rFont val="WenQuanYi Zen Hei"/>
        <family val="2"/>
      </rPr>
      <t xml:space="preserve">＝</t>
    </r>
    <r>
      <rPr>
        <sz val="11"/>
        <rFont val="Noto Sans JP"/>
        <family val="0"/>
        <charset val="1"/>
      </rPr>
      <t xml:space="preserve">5%</t>
    </r>
    <r>
      <rPr>
        <sz val="11"/>
        <rFont val="WenQuanYi Zen Hei"/>
        <family val="2"/>
      </rPr>
      <t xml:space="preserve">。</t>
    </r>
  </si>
  <si>
    <r>
      <rPr>
        <sz val="11"/>
        <rFont val="WenQuanYi Zen Hei"/>
        <family val="2"/>
      </rPr>
      <t xml:space="preserve">試行前から許容されるサイクルタイム増加率は最大</t>
    </r>
    <r>
      <rPr>
        <sz val="11"/>
        <rFont val="Noto Sans JP"/>
        <family val="0"/>
        <charset val="1"/>
      </rPr>
      <t xml:space="preserve">5%</t>
    </r>
    <r>
      <rPr>
        <sz val="11"/>
        <rFont val="WenQuanYi Zen Hei"/>
        <family val="2"/>
      </rPr>
      <t xml:space="preserve">です。
根拠（スライド</t>
    </r>
    <r>
      <rPr>
        <sz val="11"/>
        <rFont val="Noto Sans JP"/>
        <family val="0"/>
        <charset val="1"/>
      </rPr>
      <t xml:space="preserve">7</t>
    </r>
    <r>
      <rPr>
        <sz val="11"/>
        <rFont val="WenQuanYi Zen Hei"/>
        <family val="2"/>
      </rPr>
      <t xml:space="preserve">「試行は各</t>
    </r>
    <r>
      <rPr>
        <sz val="11"/>
        <rFont val="Noto Sans JP"/>
        <family val="0"/>
        <charset val="1"/>
      </rPr>
      <t xml:space="preserve">500</t>
    </r>
    <r>
      <rPr>
        <sz val="11"/>
        <rFont val="WenQuanYi Zen Hei"/>
        <family val="2"/>
      </rPr>
      <t xml:space="preserve">台で前後比較する」）：
</t>
    </r>
    <r>
      <rPr>
        <sz val="11"/>
        <rFont val="Noto Sans JP"/>
        <family val="0"/>
        <charset val="1"/>
      </rPr>
      <t xml:space="preserve">- </t>
    </r>
    <r>
      <rPr>
        <sz val="11"/>
        <rFont val="WenQuanYi Zen Hei"/>
        <family val="2"/>
      </rPr>
      <t xml:space="preserve">平均サイクルタイム：試行前 </t>
    </r>
    <r>
      <rPr>
        <sz val="11"/>
        <rFont val="Noto Sans JP"/>
        <family val="0"/>
        <charset val="1"/>
      </rPr>
      <t xml:space="preserve">60</t>
    </r>
    <r>
      <rPr>
        <sz val="11"/>
        <rFont val="WenQuanYi Zen Hei"/>
        <family val="2"/>
      </rPr>
      <t xml:space="preserve">秒／台、試行後の合格条件 </t>
    </r>
    <r>
      <rPr>
        <sz val="11"/>
        <rFont val="Noto Sans JP"/>
        <family val="0"/>
        <charset val="1"/>
      </rPr>
      <t xml:space="preserve">63</t>
    </r>
    <r>
      <rPr>
        <sz val="11"/>
        <rFont val="WenQuanYi Zen Hei"/>
        <family val="2"/>
      </rPr>
      <t xml:space="preserve">秒／台以下
</t>
    </r>
    <r>
      <rPr>
        <sz val="11"/>
        <rFont val="Noto Sans JP"/>
        <family val="0"/>
        <charset val="1"/>
      </rPr>
      <t xml:space="preserve">- </t>
    </r>
    <r>
      <rPr>
        <sz val="11"/>
        <rFont val="WenQuanYi Zen Hei"/>
        <family val="2"/>
      </rPr>
      <t xml:space="preserve">許容増加幅：</t>
    </r>
    <r>
      <rPr>
        <sz val="11"/>
        <rFont val="Noto Sans JP"/>
        <family val="0"/>
        <charset val="1"/>
      </rPr>
      <t xml:space="preserve">63</t>
    </r>
    <r>
      <rPr>
        <sz val="11"/>
        <rFont val="WenQuanYi Zen Hei"/>
        <family val="2"/>
      </rPr>
      <t xml:space="preserve">秒 − </t>
    </r>
    <r>
      <rPr>
        <sz val="11"/>
        <rFont val="Noto Sans JP"/>
        <family val="0"/>
        <charset val="1"/>
      </rPr>
      <t xml:space="preserve">60</t>
    </r>
    <r>
      <rPr>
        <sz val="11"/>
        <rFont val="WenQuanYi Zen Hei"/>
        <family val="2"/>
      </rPr>
      <t xml:space="preserve">秒 </t>
    </r>
    <r>
      <rPr>
        <sz val="11"/>
        <rFont val="Noto Sans JP"/>
        <family val="0"/>
        <charset val="1"/>
      </rPr>
      <t xml:space="preserve">= 3</t>
    </r>
    <r>
      <rPr>
        <sz val="11"/>
        <rFont val="WenQuanYi Zen Hei"/>
        <family val="2"/>
      </rPr>
      <t xml:space="preserve">秒
</t>
    </r>
    <r>
      <rPr>
        <sz val="11"/>
        <rFont val="Noto Sans JP"/>
        <family val="0"/>
        <charset val="1"/>
      </rPr>
      <t xml:space="preserve">- </t>
    </r>
    <r>
      <rPr>
        <sz val="11"/>
        <rFont val="WenQuanYi Zen Hei"/>
        <family val="2"/>
      </rPr>
      <t xml:space="preserve">許容増加率：</t>
    </r>
    <r>
      <rPr>
        <sz val="11"/>
        <rFont val="Noto Sans JP"/>
        <family val="0"/>
        <charset val="1"/>
      </rPr>
      <t xml:space="preserve">3</t>
    </r>
    <r>
      <rPr>
        <sz val="11"/>
        <rFont val="WenQuanYi Zen Hei"/>
        <family val="2"/>
      </rPr>
      <t xml:space="preserve">秒 </t>
    </r>
    <r>
      <rPr>
        <sz val="11"/>
        <rFont val="Noto Sans JP"/>
        <family val="0"/>
        <charset val="1"/>
      </rPr>
      <t xml:space="preserve">÷ 60</t>
    </r>
    <r>
      <rPr>
        <sz val="11"/>
        <rFont val="WenQuanYi Zen Hei"/>
        <family val="2"/>
      </rPr>
      <t xml:space="preserve">秒 </t>
    </r>
    <r>
      <rPr>
        <sz val="11"/>
        <rFont val="Noto Sans JP"/>
        <family val="0"/>
        <charset val="1"/>
      </rPr>
      <t xml:space="preserve">= 0.05 = 5%
</t>
    </r>
    <r>
      <rPr>
        <sz val="11"/>
        <rFont val="WenQuanYi Zen Hei"/>
        <family val="2"/>
      </rPr>
      <t xml:space="preserve">試行後の平均サイクルタイムが試行前より</t>
    </r>
    <r>
      <rPr>
        <sz val="11"/>
        <rFont val="Noto Sans JP"/>
        <family val="0"/>
        <charset val="1"/>
      </rPr>
      <t xml:space="preserve">5%</t>
    </r>
    <r>
      <rPr>
        <sz val="11"/>
        <rFont val="WenQuanYi Zen Hei"/>
        <family val="2"/>
      </rPr>
      <t xml:space="preserve">を超えて増えると、生産性条件は不合格です。なお、定着後の監視基準（スライド</t>
    </r>
    <r>
      <rPr>
        <sz val="11"/>
        <rFont val="Noto Sans JP"/>
        <family val="0"/>
        <charset val="1"/>
      </rPr>
      <t xml:space="preserve">9</t>
    </r>
    <r>
      <rPr>
        <sz val="11"/>
        <rFont val="WenQuanYi Zen Hei"/>
        <family val="2"/>
      </rPr>
      <t xml:space="preserve">）でも日次サイクルタイムは平均</t>
    </r>
    <r>
      <rPr>
        <sz val="11"/>
        <rFont val="Noto Sans JP"/>
        <family val="0"/>
        <charset val="1"/>
      </rPr>
      <t xml:space="preserve">63</t>
    </r>
    <r>
      <rPr>
        <sz val="11"/>
        <rFont val="WenQuanYi Zen Hei"/>
        <family val="2"/>
      </rPr>
      <t xml:space="preserve">秒以下で、同じく</t>
    </r>
    <r>
      <rPr>
        <sz val="11"/>
        <rFont val="Noto Sans JP"/>
        <family val="0"/>
        <charset val="1"/>
      </rPr>
      <t xml:space="preserve">5%</t>
    </r>
    <r>
      <rPr>
        <sz val="11"/>
        <rFont val="WenQuanYi Zen Hei"/>
        <family val="2"/>
      </rPr>
      <t xml:space="preserve">増が上限です。</t>
    </r>
  </si>
  <si>
    <t xml:space="preserve">/tmp/out/04-Q13.txt</t>
  </si>
  <si>
    <r>
      <rPr>
        <sz val="11"/>
        <rFont val="WenQuanYi Zen Hei"/>
        <family val="2"/>
      </rPr>
      <t xml:space="preserve">不良</t>
    </r>
    <r>
      <rPr>
        <sz val="11"/>
        <rFont val="Noto Sans JP"/>
        <family val="0"/>
        <charset val="1"/>
      </rPr>
      <t xml:space="preserve">100</t>
    </r>
    <r>
      <rPr>
        <sz val="11"/>
        <rFont val="WenQuanYi Zen Hei"/>
        <family val="2"/>
      </rPr>
      <t xml:space="preserve">台となり、</t>
    </r>
    <r>
      <rPr>
        <sz val="11"/>
        <rFont val="Noto Sans JP"/>
        <family val="0"/>
        <charset val="1"/>
      </rPr>
      <t xml:space="preserve">300</t>
    </r>
    <r>
      <rPr>
        <sz val="11"/>
        <rFont val="WenQuanYi Zen Hei"/>
        <family val="2"/>
      </rPr>
      <t xml:space="preserve">－</t>
    </r>
    <r>
      <rPr>
        <sz val="11"/>
        <rFont val="Noto Sans JP"/>
        <family val="0"/>
        <charset val="1"/>
      </rPr>
      <t xml:space="preserve">100</t>
    </r>
    <r>
      <rPr>
        <sz val="11"/>
        <rFont val="WenQuanYi Zen Hei"/>
        <family val="2"/>
      </rPr>
      <t xml:space="preserve">＝</t>
    </r>
    <r>
      <rPr>
        <sz val="11"/>
        <rFont val="Noto Sans JP"/>
        <family val="0"/>
        <charset val="1"/>
      </rPr>
      <t xml:space="preserve">200</t>
    </r>
    <r>
      <rPr>
        <sz val="11"/>
        <rFont val="WenQuanYi Zen Hei"/>
        <family val="2"/>
      </rPr>
      <t xml:space="preserve">台／月削減。</t>
    </r>
  </si>
  <si>
    <t xml:space="preserve">2,8</t>
  </si>
  <si>
    <r>
      <rPr>
        <sz val="11"/>
        <rFont val="WenQuanYi Zen Hei"/>
        <family val="2"/>
      </rPr>
      <t xml:space="preserve">不良削減台数は</t>
    </r>
    <r>
      <rPr>
        <sz val="11"/>
        <rFont val="Noto Sans JP"/>
        <family val="0"/>
        <charset val="1"/>
      </rPr>
      <t xml:space="preserve">200</t>
    </r>
    <r>
      <rPr>
        <sz val="11"/>
        <rFont val="WenQuanYi Zen Hei"/>
        <family val="2"/>
      </rPr>
      <t xml:space="preserve">台／月です（現状の不良</t>
    </r>
    <r>
      <rPr>
        <sz val="11"/>
        <rFont val="Noto Sans JP"/>
        <family val="0"/>
        <charset val="1"/>
      </rPr>
      <t xml:space="preserve">300</t>
    </r>
    <r>
      <rPr>
        <sz val="11"/>
        <rFont val="WenQuanYi Zen Hei"/>
        <family val="2"/>
      </rPr>
      <t xml:space="preserve">台［</t>
    </r>
    <r>
      <rPr>
        <sz val="11"/>
        <rFont val="Noto Sans JP"/>
        <family val="0"/>
        <charset val="1"/>
      </rPr>
      <t xml:space="preserve">10,000</t>
    </r>
    <r>
      <rPr>
        <sz val="11"/>
        <rFont val="WenQuanYi Zen Hei"/>
        <family val="2"/>
      </rPr>
      <t xml:space="preserve">台</t>
    </r>
    <r>
      <rPr>
        <sz val="11"/>
        <rFont val="Noto Sans JP"/>
        <family val="0"/>
        <charset val="1"/>
      </rPr>
      <t xml:space="preserve">×3.0%</t>
    </r>
    <r>
      <rPr>
        <sz val="11"/>
        <rFont val="WenQuanYi Zen Hei"/>
        <family val="2"/>
      </rPr>
      <t xml:space="preserve">］－目標達成時の不良</t>
    </r>
    <r>
      <rPr>
        <sz val="11"/>
        <rFont val="Noto Sans JP"/>
        <family val="0"/>
        <charset val="1"/>
      </rPr>
      <t xml:space="preserve">100</t>
    </r>
    <r>
      <rPr>
        <sz val="11"/>
        <rFont val="WenQuanYi Zen Hei"/>
        <family val="2"/>
      </rPr>
      <t xml:space="preserve">台［</t>
    </r>
    <r>
      <rPr>
        <sz val="11"/>
        <rFont val="Noto Sans JP"/>
        <family val="0"/>
        <charset val="1"/>
      </rPr>
      <t xml:space="preserve">10,000</t>
    </r>
    <r>
      <rPr>
        <sz val="11"/>
        <rFont val="WenQuanYi Zen Hei"/>
        <family val="2"/>
      </rPr>
      <t xml:space="preserve">台</t>
    </r>
    <r>
      <rPr>
        <sz val="11"/>
        <rFont val="Noto Sans JP"/>
        <family val="0"/>
        <charset val="1"/>
      </rPr>
      <t xml:space="preserve">×1.0%</t>
    </r>
    <r>
      <rPr>
        <sz val="11"/>
        <rFont val="WenQuanYi Zen Hei"/>
        <family val="2"/>
      </rPr>
      <t xml:space="preserve">］＝</t>
    </r>
    <r>
      <rPr>
        <sz val="11"/>
        <rFont val="Noto Sans JP"/>
        <family val="0"/>
        <charset val="1"/>
      </rPr>
      <t xml:space="preserve">200</t>
    </r>
    <r>
      <rPr>
        <sz val="11"/>
        <rFont val="WenQuanYi Zen Hei"/>
        <family val="2"/>
      </rPr>
      <t xml:space="preserve">台）。出典：スライド</t>
    </r>
    <r>
      <rPr>
        <sz val="11"/>
        <rFont val="Noto Sans JP"/>
        <family val="0"/>
        <charset val="1"/>
      </rPr>
      <t xml:space="preserve">8</t>
    </r>
    <r>
      <rPr>
        <sz val="11"/>
        <rFont val="WenQuanYi Zen Hei"/>
        <family val="2"/>
      </rPr>
      <t xml:space="preserve">「不良削減による費用効果」（スライド</t>
    </r>
    <r>
      <rPr>
        <sz val="11"/>
        <rFont val="Noto Sans JP"/>
        <family val="0"/>
        <charset val="1"/>
      </rPr>
      <t xml:space="preserve">2</t>
    </r>
    <r>
      <rPr>
        <sz val="11"/>
        <rFont val="WenQuanYi Zen Hei"/>
        <family val="2"/>
      </rPr>
      <t xml:space="preserve">・</t>
    </r>
    <r>
      <rPr>
        <sz val="11"/>
        <rFont val="Noto Sans JP"/>
        <family val="0"/>
        <charset val="1"/>
      </rPr>
      <t xml:space="preserve">3</t>
    </r>
    <r>
      <rPr>
        <sz val="11"/>
        <rFont val="WenQuanYi Zen Hei"/>
        <family val="2"/>
      </rPr>
      <t xml:space="preserve">の基準月</t>
    </r>
    <r>
      <rPr>
        <sz val="11"/>
        <rFont val="Noto Sans JP"/>
        <family val="0"/>
        <charset val="1"/>
      </rPr>
      <t xml:space="preserve">2026</t>
    </r>
    <r>
      <rPr>
        <sz val="11"/>
        <rFont val="WenQuanYi Zen Hei"/>
        <family val="2"/>
      </rPr>
      <t xml:space="preserve">年</t>
    </r>
    <r>
      <rPr>
        <sz val="11"/>
        <rFont val="Noto Sans JP"/>
        <family val="0"/>
        <charset val="1"/>
      </rPr>
      <t xml:space="preserve">9</t>
    </r>
    <r>
      <rPr>
        <sz val="11"/>
        <rFont val="WenQuanYi Zen Hei"/>
        <family val="2"/>
      </rPr>
      <t xml:space="preserve">月、生産</t>
    </r>
    <r>
      <rPr>
        <sz val="11"/>
        <rFont val="Noto Sans JP"/>
        <family val="0"/>
        <charset val="1"/>
      </rPr>
      <t xml:space="preserve">10,000</t>
    </r>
    <r>
      <rPr>
        <sz val="11"/>
        <rFont val="WenQuanYi Zen Hei"/>
        <family val="2"/>
      </rPr>
      <t xml:space="preserve">台・不良</t>
    </r>
    <r>
      <rPr>
        <sz val="11"/>
        <rFont val="Noto Sans JP"/>
        <family val="0"/>
        <charset val="1"/>
      </rPr>
      <t xml:space="preserve">300</t>
    </r>
    <r>
      <rPr>
        <sz val="11"/>
        <rFont val="WenQuanYi Zen Hei"/>
        <family val="2"/>
      </rPr>
      <t xml:space="preserve">台に基づく）。</t>
    </r>
  </si>
  <si>
    <t xml:space="preserve">/tmp/out/04-Q14.txt</t>
  </si>
  <si>
    <r>
      <rPr>
        <sz val="11"/>
        <rFont val="Noto Sans JP"/>
        <family val="0"/>
        <charset val="1"/>
      </rPr>
      <t xml:space="preserve">80</t>
    </r>
    <r>
      <rPr>
        <sz val="11"/>
        <rFont val="WenQuanYi Zen Hei"/>
        <family val="2"/>
      </rPr>
      <t xml:space="preserve">－</t>
    </r>
    <r>
      <rPr>
        <sz val="11"/>
        <rFont val="Noto Sans JP"/>
        <family val="0"/>
        <charset val="1"/>
      </rPr>
      <t xml:space="preserve">5</t>
    </r>
    <r>
      <rPr>
        <sz val="11"/>
        <rFont val="WenQuanYi Zen Hei"/>
        <family val="2"/>
      </rPr>
      <t xml:space="preserve">＝</t>
    </r>
    <r>
      <rPr>
        <sz val="11"/>
        <rFont val="Noto Sans JP"/>
        <family val="0"/>
        <charset val="1"/>
      </rPr>
      <t xml:space="preserve">75</t>
    </r>
    <r>
      <rPr>
        <sz val="11"/>
        <rFont val="WenQuanYi Zen Hei"/>
        <family val="2"/>
      </rPr>
      <t xml:space="preserve">万円／月。</t>
    </r>
  </si>
  <si>
    <r>
      <rPr>
        <sz val="11"/>
        <rFont val="WenQuanYi Zen Hei"/>
        <family val="2"/>
      </rPr>
      <t xml:space="preserve">純削減額は月</t>
    </r>
    <r>
      <rPr>
        <sz val="11"/>
        <rFont val="Noto Sans JP"/>
        <family val="0"/>
        <charset val="1"/>
      </rPr>
      <t xml:space="preserve">75</t>
    </r>
    <r>
      <rPr>
        <sz val="11"/>
        <rFont val="WenQuanYi Zen Hei"/>
        <family val="2"/>
      </rPr>
      <t xml:space="preserve">万円です（スライド</t>
    </r>
    <r>
      <rPr>
        <sz val="11"/>
        <rFont val="Noto Sans JP"/>
        <family val="0"/>
        <charset val="1"/>
      </rPr>
      <t xml:space="preserve">8</t>
    </r>
    <r>
      <rPr>
        <sz val="11"/>
        <rFont val="WenQuanYi Zen Hei"/>
        <family val="2"/>
      </rPr>
      <t xml:space="preserve">）。
計算：手直し費削減</t>
    </r>
    <r>
      <rPr>
        <sz val="11"/>
        <rFont val="Noto Sans JP"/>
        <family val="0"/>
        <charset val="1"/>
      </rPr>
      <t xml:space="preserve">80</t>
    </r>
    <r>
      <rPr>
        <sz val="11"/>
        <rFont val="WenQuanYi Zen Hei"/>
        <family val="2"/>
      </rPr>
      <t xml:space="preserve">万円／月 − 月次保全費</t>
    </r>
    <r>
      <rPr>
        <sz val="11"/>
        <rFont val="Noto Sans JP"/>
        <family val="0"/>
        <charset val="1"/>
      </rPr>
      <t xml:space="preserve">5</t>
    </r>
    <r>
      <rPr>
        <sz val="11"/>
        <rFont val="WenQuanYi Zen Hei"/>
        <family val="2"/>
      </rPr>
      <t xml:space="preserve">万円 ＝ </t>
    </r>
    <r>
      <rPr>
        <sz val="11"/>
        <rFont val="Noto Sans JP"/>
        <family val="0"/>
        <charset val="1"/>
      </rPr>
      <t xml:space="preserve">75</t>
    </r>
    <r>
      <rPr>
        <sz val="11"/>
        <rFont val="WenQuanYi Zen Hei"/>
        <family val="2"/>
      </rPr>
      <t xml:space="preserve">万円／月
内訳：
</t>
    </r>
    <r>
      <rPr>
        <sz val="11"/>
        <rFont val="Noto Sans JP"/>
        <family val="0"/>
        <charset val="1"/>
      </rPr>
      <t xml:space="preserve">- </t>
    </r>
    <r>
      <rPr>
        <sz val="11"/>
        <rFont val="WenQuanYi Zen Hei"/>
        <family val="2"/>
      </rPr>
      <t xml:space="preserve">不良削減台数：</t>
    </r>
    <r>
      <rPr>
        <sz val="11"/>
        <rFont val="Noto Sans JP"/>
        <family val="0"/>
        <charset val="1"/>
      </rPr>
      <t xml:space="preserve">300</t>
    </r>
    <r>
      <rPr>
        <sz val="11"/>
        <rFont val="WenQuanYi Zen Hei"/>
        <family val="2"/>
      </rPr>
      <t xml:space="preserve">台 − </t>
    </r>
    <r>
      <rPr>
        <sz val="11"/>
        <rFont val="Noto Sans JP"/>
        <family val="0"/>
        <charset val="1"/>
      </rPr>
      <t xml:space="preserve">100</t>
    </r>
    <r>
      <rPr>
        <sz val="11"/>
        <rFont val="WenQuanYi Zen Hei"/>
        <family val="2"/>
      </rPr>
      <t xml:space="preserve">台 ＝ </t>
    </r>
    <r>
      <rPr>
        <sz val="11"/>
        <rFont val="Noto Sans JP"/>
        <family val="0"/>
        <charset val="1"/>
      </rPr>
      <t xml:space="preserve">200</t>
    </r>
    <r>
      <rPr>
        <sz val="11"/>
        <rFont val="WenQuanYi Zen Hei"/>
        <family val="2"/>
      </rPr>
      <t xml:space="preserve">台／月
</t>
    </r>
    <r>
      <rPr>
        <sz val="11"/>
        <rFont val="Noto Sans JP"/>
        <family val="0"/>
        <charset val="1"/>
      </rPr>
      <t xml:space="preserve">- </t>
    </r>
    <r>
      <rPr>
        <sz val="11"/>
        <rFont val="WenQuanYi Zen Hei"/>
        <family val="2"/>
      </rPr>
      <t xml:space="preserve">手直し費削減：</t>
    </r>
    <r>
      <rPr>
        <sz val="11"/>
        <rFont val="Noto Sans JP"/>
        <family val="0"/>
        <charset val="1"/>
      </rPr>
      <t xml:space="preserve">200</t>
    </r>
    <r>
      <rPr>
        <sz val="11"/>
        <rFont val="WenQuanYi Zen Hei"/>
        <family val="2"/>
      </rPr>
      <t xml:space="preserve">台 </t>
    </r>
    <r>
      <rPr>
        <sz val="11"/>
        <rFont val="Noto Sans JP"/>
        <family val="0"/>
        <charset val="1"/>
      </rPr>
      <t xml:space="preserve">× 4,000</t>
    </r>
    <r>
      <rPr>
        <sz val="11"/>
        <rFont val="WenQuanYi Zen Hei"/>
        <family val="2"/>
      </rPr>
      <t xml:space="preserve">円（</t>
    </r>
    <r>
      <rPr>
        <sz val="11"/>
        <rFont val="Noto Sans JP"/>
        <family val="0"/>
        <charset val="1"/>
      </rPr>
      <t xml:space="preserve">1</t>
    </r>
    <r>
      <rPr>
        <sz val="11"/>
        <rFont val="WenQuanYi Zen Hei"/>
        <family val="2"/>
      </rPr>
      <t xml:space="preserve">台当たり平均手直し費、固定単価の仮定） ＝ </t>
    </r>
    <r>
      <rPr>
        <sz val="11"/>
        <rFont val="Noto Sans JP"/>
        <family val="0"/>
        <charset val="1"/>
      </rPr>
      <t xml:space="preserve">80</t>
    </r>
    <r>
      <rPr>
        <sz val="11"/>
        <rFont val="WenQuanYi Zen Hei"/>
        <family val="2"/>
      </rPr>
      <t xml:space="preserve">万円／月
前提：生産は月</t>
    </r>
    <r>
      <rPr>
        <sz val="11"/>
        <rFont val="Noto Sans JP"/>
        <family val="0"/>
        <charset val="1"/>
      </rPr>
      <t xml:space="preserve">10,000</t>
    </r>
    <r>
      <rPr>
        <sz val="11"/>
        <rFont val="WenQuanYi Zen Hei"/>
        <family val="2"/>
      </rPr>
      <t xml:space="preserve">台のままで、不良はすべて手直しすると仮定しています。税金、割引率、導入までの期間、試算から外した費用（保護材と教育の追加費用）は含みません。試行後の実績値はまだ取れていないので、この額は試算で、確定した効果ではありません。</t>
    </r>
  </si>
  <si>
    <t xml:space="preserve">/tmp/out/04-Q15.txt</t>
  </si>
  <si>
    <r>
      <rPr>
        <sz val="11"/>
        <rFont val="Noto Sans JP"/>
        <family val="0"/>
        <charset val="1"/>
      </rPr>
      <t xml:space="preserve">120÷75</t>
    </r>
    <r>
      <rPr>
        <sz val="11"/>
        <rFont val="WenQuanYi Zen Hei"/>
        <family val="2"/>
      </rPr>
      <t xml:space="preserve">＝</t>
    </r>
    <r>
      <rPr>
        <sz val="11"/>
        <rFont val="Noto Sans JP"/>
        <family val="0"/>
        <charset val="1"/>
      </rPr>
      <t xml:space="preserve">1.6</t>
    </r>
    <r>
      <rPr>
        <sz val="11"/>
        <rFont val="WenQuanYi Zen Hei"/>
        <family val="2"/>
      </rPr>
      <t xml:space="preserve">か月。</t>
    </r>
  </si>
  <si>
    <r>
      <rPr>
        <sz val="11"/>
        <rFont val="WenQuanYi Zen Hei"/>
        <family val="2"/>
      </rPr>
      <t xml:space="preserve">単純回収期間は</t>
    </r>
    <r>
      <rPr>
        <sz val="11"/>
        <rFont val="Noto Sans JP"/>
        <family val="0"/>
        <charset val="1"/>
      </rPr>
      <t xml:space="preserve">1.6</t>
    </r>
    <r>
      <rPr>
        <sz val="11"/>
        <rFont val="WenQuanYi Zen Hei"/>
        <family val="2"/>
      </rPr>
      <t xml:space="preserve">か月です。
計算：設備投資</t>
    </r>
    <r>
      <rPr>
        <sz val="11"/>
        <rFont val="Noto Sans JP"/>
        <family val="0"/>
        <charset val="1"/>
      </rPr>
      <t xml:space="preserve">120</t>
    </r>
    <r>
      <rPr>
        <sz val="11"/>
        <rFont val="WenQuanYi Zen Hei"/>
        <family val="2"/>
      </rPr>
      <t xml:space="preserve">万円 </t>
    </r>
    <r>
      <rPr>
        <sz val="11"/>
        <rFont val="Noto Sans JP"/>
        <family val="0"/>
        <charset val="1"/>
      </rPr>
      <t xml:space="preserve">÷ </t>
    </r>
    <r>
      <rPr>
        <sz val="11"/>
        <rFont val="WenQuanYi Zen Hei"/>
        <family val="2"/>
      </rPr>
      <t xml:space="preserve">月次純削減額</t>
    </r>
    <r>
      <rPr>
        <sz val="11"/>
        <rFont val="Noto Sans JP"/>
        <family val="0"/>
        <charset val="1"/>
      </rPr>
      <t xml:space="preserve">75</t>
    </r>
    <r>
      <rPr>
        <sz val="11"/>
        <rFont val="WenQuanYi Zen Hei"/>
        <family val="2"/>
      </rPr>
      <t xml:space="preserve">万円 ＝ </t>
    </r>
    <r>
      <rPr>
        <sz val="11"/>
        <rFont val="Noto Sans JP"/>
        <family val="0"/>
        <charset val="1"/>
      </rPr>
      <t xml:space="preserve">1.6</t>
    </r>
    <r>
      <rPr>
        <sz val="11"/>
        <rFont val="WenQuanYi Zen Hei"/>
        <family val="2"/>
      </rPr>
      <t xml:space="preserve">か月
月次純削減額</t>
    </r>
    <r>
      <rPr>
        <sz val="11"/>
        <rFont val="Noto Sans JP"/>
        <family val="0"/>
        <charset val="1"/>
      </rPr>
      <t xml:space="preserve">75</t>
    </r>
    <r>
      <rPr>
        <sz val="11"/>
        <rFont val="WenQuanYi Zen Hei"/>
        <family val="2"/>
      </rPr>
      <t xml:space="preserve">万円の内訳（スライド</t>
    </r>
    <r>
      <rPr>
        <sz val="11"/>
        <rFont val="Noto Sans JP"/>
        <family val="0"/>
        <charset val="1"/>
      </rPr>
      <t xml:space="preserve">8</t>
    </r>
    <r>
      <rPr>
        <sz val="11"/>
        <rFont val="WenQuanYi Zen Hei"/>
        <family val="2"/>
      </rPr>
      <t xml:space="preserve">）
</t>
    </r>
    <r>
      <rPr>
        <sz val="11"/>
        <rFont val="Noto Sans JP"/>
        <family val="0"/>
        <charset val="1"/>
      </rPr>
      <t xml:space="preserve">- </t>
    </r>
    <r>
      <rPr>
        <sz val="11"/>
        <rFont val="WenQuanYi Zen Hei"/>
        <family val="2"/>
      </rPr>
      <t xml:space="preserve">不良削減台数：</t>
    </r>
    <r>
      <rPr>
        <sz val="11"/>
        <rFont val="Noto Sans JP"/>
        <family val="0"/>
        <charset val="1"/>
      </rPr>
      <t xml:space="preserve">300</t>
    </r>
    <r>
      <rPr>
        <sz val="11"/>
        <rFont val="WenQuanYi Zen Hei"/>
        <family val="2"/>
      </rPr>
      <t xml:space="preserve">台 − </t>
    </r>
    <r>
      <rPr>
        <sz val="11"/>
        <rFont val="Noto Sans JP"/>
        <family val="0"/>
        <charset val="1"/>
      </rPr>
      <t xml:space="preserve">100</t>
    </r>
    <r>
      <rPr>
        <sz val="11"/>
        <rFont val="WenQuanYi Zen Hei"/>
        <family val="2"/>
      </rPr>
      <t xml:space="preserve">台 ＝ </t>
    </r>
    <r>
      <rPr>
        <sz val="11"/>
        <rFont val="Noto Sans JP"/>
        <family val="0"/>
        <charset val="1"/>
      </rPr>
      <t xml:space="preserve">200</t>
    </r>
    <r>
      <rPr>
        <sz val="11"/>
        <rFont val="WenQuanYi Zen Hei"/>
        <family val="2"/>
      </rPr>
      <t xml:space="preserve">台／月（</t>
    </r>
    <r>
      <rPr>
        <sz val="11"/>
        <rFont val="Noto Sans JP"/>
        <family val="0"/>
        <charset val="1"/>
      </rPr>
      <t xml:space="preserve">9</t>
    </r>
    <r>
      <rPr>
        <sz val="11"/>
        <rFont val="WenQuanYi Zen Hei"/>
        <family val="2"/>
      </rPr>
      <t xml:space="preserve">月実績の不良</t>
    </r>
    <r>
      <rPr>
        <sz val="11"/>
        <rFont val="Noto Sans JP"/>
        <family val="0"/>
        <charset val="1"/>
      </rPr>
      <t xml:space="preserve">300</t>
    </r>
    <r>
      <rPr>
        <sz val="11"/>
        <rFont val="WenQuanYi Zen Hei"/>
        <family val="2"/>
      </rPr>
      <t xml:space="preserve">台を、目標の不良率</t>
    </r>
    <r>
      <rPr>
        <sz val="11"/>
        <rFont val="Noto Sans JP"/>
        <family val="0"/>
        <charset val="1"/>
      </rPr>
      <t xml:space="preserve">1.0%</t>
    </r>
    <r>
      <rPr>
        <sz val="11"/>
        <rFont val="WenQuanYi Zen Hei"/>
        <family val="2"/>
      </rPr>
      <t xml:space="preserve">＝</t>
    </r>
    <r>
      <rPr>
        <sz val="11"/>
        <rFont val="Noto Sans JP"/>
        <family val="0"/>
        <charset val="1"/>
      </rPr>
      <t xml:space="preserve">100</t>
    </r>
    <r>
      <rPr>
        <sz val="11"/>
        <rFont val="WenQuanYi Zen Hei"/>
        <family val="2"/>
      </rPr>
      <t xml:space="preserve">台まで下げる前提）
</t>
    </r>
    <r>
      <rPr>
        <sz val="11"/>
        <rFont val="Noto Sans JP"/>
        <family val="0"/>
        <charset val="1"/>
      </rPr>
      <t xml:space="preserve">- </t>
    </r>
    <r>
      <rPr>
        <sz val="11"/>
        <rFont val="WenQuanYi Zen Hei"/>
        <family val="2"/>
      </rPr>
      <t xml:space="preserve">手直し費削減：</t>
    </r>
    <r>
      <rPr>
        <sz val="11"/>
        <rFont val="Noto Sans JP"/>
        <family val="0"/>
        <charset val="1"/>
      </rPr>
      <t xml:space="preserve">200</t>
    </r>
    <r>
      <rPr>
        <sz val="11"/>
        <rFont val="WenQuanYi Zen Hei"/>
        <family val="2"/>
      </rPr>
      <t xml:space="preserve">台 </t>
    </r>
    <r>
      <rPr>
        <sz val="11"/>
        <rFont val="Noto Sans JP"/>
        <family val="0"/>
        <charset val="1"/>
      </rPr>
      <t xml:space="preserve">× 4,000</t>
    </r>
    <r>
      <rPr>
        <sz val="11"/>
        <rFont val="WenQuanYi Zen Hei"/>
        <family val="2"/>
      </rPr>
      <t xml:space="preserve">円／台 ＝ </t>
    </r>
    <r>
      <rPr>
        <sz val="11"/>
        <rFont val="Noto Sans JP"/>
        <family val="0"/>
        <charset val="1"/>
      </rPr>
      <t xml:space="preserve">80</t>
    </r>
    <r>
      <rPr>
        <sz val="11"/>
        <rFont val="WenQuanYi Zen Hei"/>
        <family val="2"/>
      </rPr>
      <t xml:space="preserve">万円／月
</t>
    </r>
    <r>
      <rPr>
        <sz val="11"/>
        <rFont val="Noto Sans JP"/>
        <family val="0"/>
        <charset val="1"/>
      </rPr>
      <t xml:space="preserve">- </t>
    </r>
    <r>
      <rPr>
        <sz val="11"/>
        <rFont val="WenQuanYi Zen Hei"/>
        <family val="2"/>
      </rPr>
      <t xml:space="preserve">純削減額：</t>
    </r>
    <r>
      <rPr>
        <sz val="11"/>
        <rFont val="Noto Sans JP"/>
        <family val="0"/>
        <charset val="1"/>
      </rPr>
      <t xml:space="preserve">80</t>
    </r>
    <r>
      <rPr>
        <sz val="11"/>
        <rFont val="WenQuanYi Zen Hei"/>
        <family val="2"/>
      </rPr>
      <t xml:space="preserve">万円 − 月次保全費</t>
    </r>
    <r>
      <rPr>
        <sz val="11"/>
        <rFont val="Noto Sans JP"/>
        <family val="0"/>
        <charset val="1"/>
      </rPr>
      <t xml:space="preserve">5</t>
    </r>
    <r>
      <rPr>
        <sz val="11"/>
        <rFont val="WenQuanYi Zen Hei"/>
        <family val="2"/>
      </rPr>
      <t xml:space="preserve">万円 ＝ </t>
    </r>
    <r>
      <rPr>
        <sz val="11"/>
        <rFont val="Noto Sans JP"/>
        <family val="0"/>
        <charset val="1"/>
      </rPr>
      <t xml:space="preserve">75</t>
    </r>
    <r>
      <rPr>
        <sz val="11"/>
        <rFont val="WenQuanYi Zen Hei"/>
        <family val="2"/>
      </rPr>
      <t xml:space="preserve">万円／月
前提と注意点（スライド</t>
    </r>
    <r>
      <rPr>
        <sz val="11"/>
        <rFont val="Noto Sans JP"/>
        <family val="0"/>
        <charset val="1"/>
      </rPr>
      <t xml:space="preserve">7</t>
    </r>
    <r>
      <rPr>
        <sz val="11"/>
        <rFont val="WenQuanYi Zen Hei"/>
        <family val="2"/>
      </rPr>
      <t xml:space="preserve">・</t>
    </r>
    <r>
      <rPr>
        <sz val="11"/>
        <rFont val="Noto Sans JP"/>
        <family val="0"/>
        <charset val="1"/>
      </rPr>
      <t xml:space="preserve">8</t>
    </r>
    <r>
      <rPr>
        <sz val="11"/>
        <rFont val="WenQuanYi Zen Hei"/>
        <family val="2"/>
      </rPr>
      <t xml:space="preserve">の注記より）
</t>
    </r>
    <r>
      <rPr>
        <sz val="11"/>
        <rFont val="Noto Sans JP"/>
        <family val="0"/>
        <charset val="1"/>
      </rPr>
      <t xml:space="preserve">- </t>
    </r>
    <r>
      <rPr>
        <sz val="11"/>
        <rFont val="WenQuanYi Zen Hei"/>
        <family val="2"/>
      </rPr>
      <t xml:space="preserve">生産は月</t>
    </r>
    <r>
      <rPr>
        <sz val="11"/>
        <rFont val="Noto Sans JP"/>
        <family val="0"/>
        <charset val="1"/>
      </rPr>
      <t xml:space="preserve">10,000</t>
    </r>
    <r>
      <rPr>
        <sz val="11"/>
        <rFont val="WenQuanYi Zen Hei"/>
        <family val="2"/>
      </rPr>
      <t xml:space="preserve">台を維持し、不良はすべて手直し対象とし、</t>
    </r>
    <r>
      <rPr>
        <sz val="11"/>
        <rFont val="Noto Sans JP"/>
        <family val="0"/>
        <charset val="1"/>
      </rPr>
      <t xml:space="preserve">1</t>
    </r>
    <r>
      <rPr>
        <sz val="11"/>
        <rFont val="WenQuanYi Zen Hei"/>
        <family val="2"/>
      </rPr>
      <t xml:space="preserve">台当たりの手直し費は</t>
    </r>
    <r>
      <rPr>
        <sz val="11"/>
        <rFont val="Noto Sans JP"/>
        <family val="0"/>
        <charset val="1"/>
      </rPr>
      <t xml:space="preserve">4,000</t>
    </r>
    <r>
      <rPr>
        <sz val="11"/>
        <rFont val="WenQuanYi Zen Hei"/>
        <family val="2"/>
      </rPr>
      <t xml:space="preserve">円の固定単価と仮定しています。
</t>
    </r>
    <r>
      <rPr>
        <sz val="11"/>
        <rFont val="Noto Sans JP"/>
        <family val="0"/>
        <charset val="1"/>
      </rPr>
      <t xml:space="preserve">- </t>
    </r>
    <r>
      <rPr>
        <sz val="11"/>
        <rFont val="WenQuanYi Zen Hei"/>
        <family val="2"/>
      </rPr>
      <t xml:space="preserve">税金、割引率、導入までの期間、試算から除いた費用（保護材・教育）は含みません。
</t>
    </r>
    <r>
      <rPr>
        <sz val="11"/>
        <rFont val="Noto Sans JP"/>
        <family val="0"/>
        <charset val="1"/>
      </rPr>
      <t xml:space="preserve">- </t>
    </r>
    <r>
      <rPr>
        <sz val="11"/>
        <rFont val="WenQuanYi Zen Hei"/>
        <family val="2"/>
      </rPr>
      <t xml:space="preserve">不良削減台数は目標値（不良率</t>
    </r>
    <r>
      <rPr>
        <sz val="11"/>
        <rFont val="Noto Sans JP"/>
        <family val="0"/>
        <charset val="1"/>
      </rPr>
      <t xml:space="preserve">1.0%</t>
    </r>
    <r>
      <rPr>
        <sz val="11"/>
        <rFont val="WenQuanYi Zen Hei"/>
        <family val="2"/>
      </rPr>
      <t xml:space="preserve">以下）から出したもので、実績ではありません。試行後の実績値はまだ取得されていません。</t>
    </r>
  </si>
  <si>
    <t xml:space="preserve">/tmp/out/04-Q16.txt</t>
  </si>
  <si>
    <t xml:space="preserve">ラインを停止し、対象ロットを隔離する。</t>
  </si>
  <si>
    <r>
      <rPr>
        <sz val="11"/>
        <rFont val="WenQuanYi Zen Hei"/>
        <family val="2"/>
      </rPr>
      <t xml:space="preserve">トルク規格外を</t>
    </r>
    <r>
      <rPr>
        <sz val="11"/>
        <rFont val="Noto Sans JP"/>
        <family val="0"/>
        <charset val="1"/>
      </rPr>
      <t xml:space="preserve">1</t>
    </r>
    <r>
      <rPr>
        <sz val="11"/>
        <rFont val="WenQuanYi Zen Hei"/>
        <family val="2"/>
      </rPr>
      <t xml:space="preserve">台でも検知した場合は、ただちにラインを停止し、対象ロットを隔離します（スライド</t>
    </r>
    <r>
      <rPr>
        <sz val="11"/>
        <rFont val="Noto Sans JP"/>
        <family val="0"/>
        <charset val="1"/>
      </rPr>
      <t xml:space="preserve">9</t>
    </r>
    <r>
      <rPr>
        <sz val="11"/>
        <rFont val="WenQuanYi Zen Hei"/>
        <family val="2"/>
      </rPr>
      <t xml:space="preserve">「定着後の監視と停止条件」）。停止後にラインを再開するには、品質保証部長の承認が必要です。</t>
    </r>
  </si>
  <si>
    <t xml:space="preserve">/tmp/out/04-Q17.txt</t>
  </si>
  <si>
    <t xml:space="preserve">どちらも品質保証部長。</t>
  </si>
  <si>
    <t xml:space="preserve">9,10</t>
  </si>
  <si>
    <r>
      <rPr>
        <sz val="11"/>
        <rFont val="WenQuanYi Zen Hei"/>
        <family val="2"/>
      </rPr>
      <t xml:space="preserve">停止後の再開承認者も試行判定者も、どちらも品質保証部長です。
</t>
    </r>
    <r>
      <rPr>
        <sz val="11"/>
        <rFont val="Noto Sans JP"/>
        <family val="0"/>
        <charset val="1"/>
      </rPr>
      <t xml:space="preserve">- </t>
    </r>
    <r>
      <rPr>
        <sz val="11"/>
        <rFont val="WenQuanYi Zen Hei"/>
        <family val="2"/>
      </rPr>
      <t xml:space="preserve">停止後の再開承認：品質保証部長（スライド</t>
    </r>
    <r>
      <rPr>
        <sz val="11"/>
        <rFont val="Noto Sans JP"/>
        <family val="0"/>
        <charset val="1"/>
      </rPr>
      <t xml:space="preserve">9 </t>
    </r>
    <r>
      <rPr>
        <sz val="11"/>
        <rFont val="WenQuanYi Zen Hei"/>
        <family val="2"/>
      </rPr>
      <t xml:space="preserve">注記「停止後の再開は品質保証部長が承認する」）
</t>
    </r>
    <r>
      <rPr>
        <sz val="11"/>
        <rFont val="Noto Sans JP"/>
        <family val="0"/>
        <charset val="1"/>
      </rPr>
      <t xml:space="preserve">- </t>
    </r>
    <r>
      <rPr>
        <sz val="11"/>
        <rFont val="WenQuanYi Zen Hei"/>
        <family val="2"/>
      </rPr>
      <t xml:space="preserve">試行判定：品質保証部長、</t>
    </r>
    <r>
      <rPr>
        <sz val="11"/>
        <rFont val="Noto Sans JP"/>
        <family val="0"/>
        <charset val="1"/>
      </rPr>
      <t xml:space="preserve">2026</t>
    </r>
    <r>
      <rPr>
        <sz val="11"/>
        <rFont val="WenQuanYi Zen Hei"/>
        <family val="2"/>
      </rPr>
      <t xml:space="preserve">年</t>
    </r>
    <r>
      <rPr>
        <sz val="11"/>
        <rFont val="Noto Sans JP"/>
        <family val="0"/>
        <charset val="1"/>
      </rPr>
      <t xml:space="preserve">12</t>
    </r>
    <r>
      <rPr>
        <sz val="11"/>
        <rFont val="WenQuanYi Zen Hei"/>
        <family val="2"/>
      </rPr>
      <t xml:space="preserve">月</t>
    </r>
    <r>
      <rPr>
        <sz val="11"/>
        <rFont val="Noto Sans JP"/>
        <family val="0"/>
        <charset val="1"/>
      </rPr>
      <t xml:space="preserve">14</t>
    </r>
    <r>
      <rPr>
        <sz val="11"/>
        <rFont val="WenQuanYi Zen Hei"/>
        <family val="2"/>
      </rPr>
      <t xml:space="preserve">日（スライド</t>
    </r>
    <r>
      <rPr>
        <sz val="11"/>
        <rFont val="Noto Sans JP"/>
        <family val="0"/>
        <charset val="1"/>
      </rPr>
      <t xml:space="preserve">10 </t>
    </r>
    <r>
      <rPr>
        <sz val="11"/>
        <rFont val="WenQuanYi Zen Hei"/>
        <family val="2"/>
      </rPr>
      <t xml:space="preserve">要点</t>
    </r>
    <r>
      <rPr>
        <sz val="11"/>
        <rFont val="Noto Sans JP"/>
        <family val="0"/>
        <charset val="1"/>
      </rPr>
      <t xml:space="preserve">2</t>
    </r>
    <r>
      <rPr>
        <sz val="11"/>
        <rFont val="WenQuanYi Zen Hei"/>
        <family val="2"/>
      </rPr>
      <t xml:space="preserve">）</t>
    </r>
  </si>
  <si>
    <t xml:space="preserve">/tmp/out/04-Q18.txt</t>
  </si>
  <si>
    <t xml:space="preserve">試行後の実績値は未取得なので回答できない。</t>
  </si>
  <si>
    <r>
      <rPr>
        <sz val="11"/>
        <rFont val="WenQuanYi Zen Hei"/>
        <family val="2"/>
      </rPr>
      <t xml:space="preserve">資料には試行後の実測不良率は記載されていません。スライド</t>
    </r>
    <r>
      <rPr>
        <sz val="11"/>
        <rFont val="Noto Sans JP"/>
        <family val="0"/>
        <charset val="1"/>
      </rPr>
      <t xml:space="preserve">7</t>
    </r>
    <r>
      <rPr>
        <sz val="11"/>
        <rFont val="WenQuanYi Zen Hei"/>
        <family val="2"/>
      </rPr>
      <t xml:space="preserve">の注記に「試行後の実績値は未取得」とあり、試行（</t>
    </r>
    <r>
      <rPr>
        <sz val="11"/>
        <rFont val="Noto Sans JP"/>
        <family val="0"/>
        <charset val="1"/>
      </rPr>
      <t xml:space="preserve">12/1</t>
    </r>
    <r>
      <rPr>
        <sz val="11"/>
        <rFont val="WenQuanYi Zen Hei"/>
        <family val="2"/>
      </rPr>
      <t xml:space="preserve">～</t>
    </r>
    <r>
      <rPr>
        <sz val="11"/>
        <rFont val="Noto Sans JP"/>
        <family val="0"/>
        <charset val="1"/>
      </rPr>
      <t xml:space="preserve">12/11</t>
    </r>
    <r>
      <rPr>
        <sz val="11"/>
        <rFont val="WenQuanYi Zen Hei"/>
        <family val="2"/>
      </rPr>
      <t xml:space="preserve">、各</t>
    </r>
    <r>
      <rPr>
        <sz val="11"/>
        <rFont val="Noto Sans JP"/>
        <family val="0"/>
        <charset val="1"/>
      </rPr>
      <t xml:space="preserve">500</t>
    </r>
    <r>
      <rPr>
        <sz val="11"/>
        <rFont val="WenQuanYi Zen Hei"/>
        <family val="2"/>
      </rPr>
      <t xml:space="preserve">台）の結果はまだ得られていません。
資料にあるのは次の数値のみです。
</t>
    </r>
    <r>
      <rPr>
        <sz val="11"/>
        <rFont val="Noto Sans JP"/>
        <family val="0"/>
        <charset val="1"/>
      </rPr>
      <t xml:space="preserve">- </t>
    </r>
    <r>
      <rPr>
        <sz val="11"/>
        <rFont val="WenQuanYi Zen Hei"/>
        <family val="2"/>
      </rPr>
      <t xml:space="preserve">試行前の実績：生産</t>
    </r>
    <r>
      <rPr>
        <sz val="11"/>
        <rFont val="Noto Sans JP"/>
        <family val="0"/>
        <charset val="1"/>
      </rPr>
      <t xml:space="preserve">500</t>
    </r>
    <r>
      <rPr>
        <sz val="11"/>
        <rFont val="WenQuanYi Zen Hei"/>
        <family val="2"/>
      </rPr>
      <t xml:space="preserve">台中、全不良</t>
    </r>
    <r>
      <rPr>
        <sz val="11"/>
        <rFont val="Noto Sans JP"/>
        <family val="0"/>
        <charset val="1"/>
      </rPr>
      <t xml:space="preserve">15</t>
    </r>
    <r>
      <rPr>
        <sz val="11"/>
        <rFont val="WenQuanYi Zen Hei"/>
        <family val="2"/>
      </rPr>
      <t xml:space="preserve">台（</t>
    </r>
    <r>
      <rPr>
        <sz val="11"/>
        <rFont val="Noto Sans JP"/>
        <family val="0"/>
        <charset val="1"/>
      </rPr>
      <t xml:space="preserve">3.0%</t>
    </r>
    <r>
      <rPr>
        <sz val="11"/>
        <rFont val="WenQuanYi Zen Hei"/>
        <family val="2"/>
      </rPr>
      <t xml:space="preserve">）、締結不良</t>
    </r>
    <r>
      <rPr>
        <sz val="11"/>
        <rFont val="Noto Sans JP"/>
        <family val="0"/>
        <charset val="1"/>
      </rPr>
      <t xml:space="preserve">8</t>
    </r>
    <r>
      <rPr>
        <sz val="11"/>
        <rFont val="WenQuanYi Zen Hei"/>
        <family val="2"/>
      </rPr>
      <t xml:space="preserve">台
</t>
    </r>
    <r>
      <rPr>
        <sz val="11"/>
        <rFont val="Noto Sans JP"/>
        <family val="0"/>
        <charset val="1"/>
      </rPr>
      <t xml:space="preserve">- </t>
    </r>
    <r>
      <rPr>
        <sz val="11"/>
        <rFont val="WenQuanYi Zen Hei"/>
        <family val="2"/>
      </rPr>
      <t xml:space="preserve">試行後の合格条件（目標）：全不良</t>
    </r>
    <r>
      <rPr>
        <sz val="11"/>
        <rFont val="Noto Sans JP"/>
        <family val="0"/>
        <charset val="1"/>
      </rPr>
      <t xml:space="preserve">5</t>
    </r>
    <r>
      <rPr>
        <sz val="11"/>
        <rFont val="WenQuanYi Zen Hei"/>
        <family val="2"/>
      </rPr>
      <t xml:space="preserve">台以下（</t>
    </r>
    <r>
      <rPr>
        <sz val="11"/>
        <rFont val="Noto Sans JP"/>
        <family val="0"/>
        <charset val="1"/>
      </rPr>
      <t xml:space="preserve">500</t>
    </r>
    <r>
      <rPr>
        <sz val="11"/>
        <rFont val="WenQuanYi Zen Hei"/>
        <family val="2"/>
      </rPr>
      <t xml:space="preserve">台中</t>
    </r>
    <r>
      <rPr>
        <sz val="11"/>
        <rFont val="Noto Sans JP"/>
        <family val="0"/>
        <charset val="1"/>
      </rPr>
      <t xml:space="preserve">1.0%</t>
    </r>
    <r>
      <rPr>
        <sz val="11"/>
        <rFont val="WenQuanYi Zen Hei"/>
        <family val="2"/>
      </rPr>
      <t xml:space="preserve">以下）、締結不良</t>
    </r>
    <r>
      <rPr>
        <sz val="11"/>
        <rFont val="Noto Sans JP"/>
        <family val="0"/>
        <charset val="1"/>
      </rPr>
      <t xml:space="preserve">2</t>
    </r>
    <r>
      <rPr>
        <sz val="11"/>
        <rFont val="WenQuanYi Zen Hei"/>
        <family val="2"/>
      </rPr>
      <t xml:space="preserve">台以下
試行判定は</t>
    </r>
    <r>
      <rPr>
        <sz val="11"/>
        <rFont val="Noto Sans JP"/>
        <family val="0"/>
        <charset val="1"/>
      </rPr>
      <t xml:space="preserve">2026</t>
    </r>
    <r>
      <rPr>
        <sz val="11"/>
        <rFont val="WenQuanYi Zen Hei"/>
        <family val="2"/>
      </rPr>
      <t xml:space="preserve">年</t>
    </r>
    <r>
      <rPr>
        <sz val="11"/>
        <rFont val="Noto Sans JP"/>
        <family val="0"/>
        <charset val="1"/>
      </rPr>
      <t xml:space="preserve">12</t>
    </r>
    <r>
      <rPr>
        <sz val="11"/>
        <rFont val="WenQuanYi Zen Hei"/>
        <family val="2"/>
      </rPr>
      <t xml:space="preserve">月</t>
    </r>
    <r>
      <rPr>
        <sz val="11"/>
        <rFont val="Noto Sans JP"/>
        <family val="0"/>
        <charset val="1"/>
      </rPr>
      <t xml:space="preserve">14</t>
    </r>
    <r>
      <rPr>
        <sz val="11"/>
        <rFont val="WenQuanYi Zen Hei"/>
        <family val="2"/>
      </rPr>
      <t xml:space="preserve">日に品質保証部長が行う予定です（スライド</t>
    </r>
    <r>
      <rPr>
        <sz val="11"/>
        <rFont val="Noto Sans JP"/>
        <family val="0"/>
        <charset val="1"/>
      </rPr>
      <t xml:space="preserve">10</t>
    </r>
    <r>
      <rPr>
        <sz val="11"/>
        <rFont val="WenQuanYi Zen Hei"/>
        <family val="2"/>
      </rPr>
      <t xml:space="preserve">）。</t>
    </r>
  </si>
  <si>
    <t xml:space="preserve">/tmp/out/04-Q19.txt</t>
  </si>
  <si>
    <r>
      <rPr>
        <sz val="11"/>
        <rFont val="WenQuanYi Zen Hei"/>
        <family val="2"/>
      </rPr>
      <t xml:space="preserve">工程内不良率</t>
    </r>
    <r>
      <rPr>
        <sz val="11"/>
        <rFont val="Noto Sans JP"/>
        <family val="0"/>
        <charset val="1"/>
      </rPr>
      <t xml:space="preserve">1.0%</t>
    </r>
    <r>
      <rPr>
        <sz val="11"/>
        <rFont val="WenQuanYi Zen Hei"/>
        <family val="2"/>
      </rPr>
      <t xml:space="preserve">以下、</t>
    </r>
    <r>
      <rPr>
        <sz val="11"/>
        <rFont val="Noto Sans JP"/>
        <family val="0"/>
        <charset val="1"/>
      </rPr>
      <t xml:space="preserve">2027</t>
    </r>
    <r>
      <rPr>
        <sz val="11"/>
        <rFont val="WenQuanYi Zen Hei"/>
        <family val="2"/>
      </rPr>
      <t xml:space="preserve">年</t>
    </r>
    <r>
      <rPr>
        <sz val="11"/>
        <rFont val="Noto Sans JP"/>
        <family val="0"/>
        <charset val="1"/>
      </rPr>
      <t xml:space="preserve">1</t>
    </r>
    <r>
      <rPr>
        <sz val="11"/>
        <rFont val="WenQuanYi Zen Hei"/>
        <family val="2"/>
      </rPr>
      <t xml:space="preserve">月末。</t>
    </r>
  </si>
  <si>
    <r>
      <rPr>
        <sz val="11"/>
        <rFont val="WenQuanYi Zen Hei"/>
        <family val="2"/>
      </rPr>
      <t xml:space="preserve">品質目標は、組立ライン</t>
    </r>
    <r>
      <rPr>
        <sz val="11"/>
        <rFont val="Noto Sans JP"/>
        <family val="0"/>
        <charset val="1"/>
      </rPr>
      <t xml:space="preserve">A</t>
    </r>
    <r>
      <rPr>
        <sz val="11"/>
        <rFont val="WenQuanYi Zen Hei"/>
        <family val="2"/>
      </rPr>
      <t xml:space="preserve">の工程内不良率を</t>
    </r>
    <r>
      <rPr>
        <sz val="11"/>
        <rFont val="Noto Sans JP"/>
        <family val="0"/>
        <charset val="1"/>
      </rPr>
      <t xml:space="preserve">1.0%</t>
    </r>
    <r>
      <rPr>
        <sz val="11"/>
        <rFont val="WenQuanYi Zen Hei"/>
        <family val="2"/>
      </rPr>
      <t xml:space="preserve">以下にすることです（基準月の</t>
    </r>
    <r>
      <rPr>
        <sz val="11"/>
        <rFont val="Noto Sans JP"/>
        <family val="0"/>
        <charset val="1"/>
      </rPr>
      <t xml:space="preserve">2026</t>
    </r>
    <r>
      <rPr>
        <sz val="11"/>
        <rFont val="WenQuanYi Zen Hei"/>
        <family val="2"/>
      </rPr>
      <t xml:space="preserve">年</t>
    </r>
    <r>
      <rPr>
        <sz val="11"/>
        <rFont val="Noto Sans JP"/>
        <family val="0"/>
        <charset val="1"/>
      </rPr>
      <t xml:space="preserve">9</t>
    </r>
    <r>
      <rPr>
        <sz val="11"/>
        <rFont val="WenQuanYi Zen Hei"/>
        <family val="2"/>
      </rPr>
      <t xml:space="preserve">月は</t>
    </r>
    <r>
      <rPr>
        <sz val="11"/>
        <rFont val="Noto Sans JP"/>
        <family val="0"/>
        <charset val="1"/>
      </rPr>
      <t xml:space="preserve">3.0%</t>
    </r>
    <r>
      <rPr>
        <sz val="11"/>
        <rFont val="WenQuanYi Zen Hei"/>
        <family val="2"/>
      </rPr>
      <t xml:space="preserve">）。評価時点は</t>
    </r>
    <r>
      <rPr>
        <sz val="11"/>
        <rFont val="Noto Sans JP"/>
        <family val="0"/>
        <charset val="1"/>
      </rPr>
      <t xml:space="preserve">2027</t>
    </r>
    <r>
      <rPr>
        <sz val="11"/>
        <rFont val="WenQuanYi Zen Hei"/>
        <family val="2"/>
      </rPr>
      <t xml:space="preserve">年</t>
    </r>
    <r>
      <rPr>
        <sz val="11"/>
        <rFont val="Noto Sans JP"/>
        <family val="0"/>
        <charset val="1"/>
      </rPr>
      <t xml:space="preserve">1</t>
    </r>
    <r>
      <rPr>
        <sz val="11"/>
        <rFont val="WenQuanYi Zen Hei"/>
        <family val="2"/>
      </rPr>
      <t xml:space="preserve">月末です（スライド</t>
    </r>
    <r>
      <rPr>
        <sz val="11"/>
        <rFont val="Noto Sans JP"/>
        <family val="0"/>
        <charset val="1"/>
      </rPr>
      <t xml:space="preserve">2</t>
    </r>
    <r>
      <rPr>
        <sz val="11"/>
        <rFont val="WenQuanYi Zen Hei"/>
        <family val="2"/>
      </rPr>
      <t xml:space="preserve">・スライド</t>
    </r>
    <r>
      <rPr>
        <sz val="11"/>
        <rFont val="Noto Sans JP"/>
        <family val="0"/>
        <charset val="1"/>
      </rPr>
      <t xml:space="preserve">10</t>
    </r>
    <r>
      <rPr>
        <sz val="11"/>
        <rFont val="WenQuanYi Zen Hei"/>
        <family val="2"/>
      </rPr>
      <t xml:space="preserve">）。</t>
    </r>
  </si>
  <si>
    <t xml:space="preserve">/tmp/out/04-Q20.txt</t>
  </si>
  <si>
    <r>
      <rPr>
        <b val="true"/>
        <sz val="15"/>
        <rFont val="WenQuanYi Zen Hei"/>
        <family val="2"/>
      </rPr>
      <t xml:space="preserve">クラウド移行計画：テスト問題（</t>
    </r>
    <r>
      <rPr>
        <b val="true"/>
        <sz val="15"/>
        <rFont val="Noto Sans JP"/>
        <family val="0"/>
        <charset val="1"/>
      </rPr>
      <t xml:space="preserve">LLM</t>
    </r>
    <r>
      <rPr>
        <b val="true"/>
        <sz val="15"/>
        <rFont val="WenQuanYi Zen Hei"/>
        <family val="2"/>
      </rPr>
      <t xml:space="preserve">入力用）</t>
    </r>
  </si>
  <si>
    <t xml:space="preserve">05-Q01</t>
  </si>
  <si>
    <t xml:space="preserve">移行責任者は誰ですか。</t>
  </si>
  <si>
    <t xml:space="preserve">05-Q02</t>
  </si>
  <si>
    <t xml:space="preserve">今回の移行対象と対象外を答えてください。</t>
  </si>
  <si>
    <t xml:space="preserve">05-Q03</t>
  </si>
  <si>
    <r>
      <rPr>
        <sz val="11"/>
        <rFont val="WenQuanYi Zen Hei"/>
        <family val="2"/>
      </rPr>
      <t xml:space="preserve">社内ポータルの</t>
    </r>
    <r>
      <rPr>
        <sz val="11"/>
        <rFont val="Noto Sans JP"/>
        <family val="0"/>
        <charset val="1"/>
      </rPr>
      <t xml:space="preserve">RTO</t>
    </r>
    <r>
      <rPr>
        <sz val="11"/>
        <rFont val="WenQuanYi Zen Hei"/>
        <family val="2"/>
      </rPr>
      <t xml:space="preserve">と</t>
    </r>
    <r>
      <rPr>
        <sz val="11"/>
        <rFont val="Noto Sans JP"/>
        <family val="0"/>
        <charset val="1"/>
      </rPr>
      <t xml:space="preserve">RPO</t>
    </r>
    <r>
      <rPr>
        <sz val="11"/>
        <rFont val="WenQuanYi Zen Hei"/>
        <family val="2"/>
      </rPr>
      <t xml:space="preserve">を答えてください。</t>
    </r>
  </si>
  <si>
    <t xml:space="preserve">05-Q04</t>
  </si>
  <si>
    <r>
      <rPr>
        <sz val="11"/>
        <rFont val="WenQuanYi Zen Hei"/>
        <family val="2"/>
      </rPr>
      <t xml:space="preserve">移行対象</t>
    </r>
    <r>
      <rPr>
        <sz val="11"/>
        <rFont val="Noto Sans JP"/>
        <family val="0"/>
        <charset val="1"/>
      </rPr>
      <t xml:space="preserve">2</t>
    </r>
    <r>
      <rPr>
        <sz val="11"/>
        <rFont val="WenQuanYi Zen Hei"/>
        <family val="2"/>
      </rPr>
      <t xml:space="preserve">システムで</t>
    </r>
    <r>
      <rPr>
        <sz val="11"/>
        <rFont val="Noto Sans JP"/>
        <family val="0"/>
        <charset val="1"/>
      </rPr>
      <t xml:space="preserve">RTO</t>
    </r>
    <r>
      <rPr>
        <sz val="11"/>
        <rFont val="WenQuanYi Zen Hei"/>
        <family val="2"/>
      </rPr>
      <t xml:space="preserve">が短いのはどちらですか。</t>
    </r>
  </si>
  <si>
    <t xml:space="preserve">05-Q05</t>
  </si>
  <si>
    <t xml:space="preserve">会計データの正本はどこに残しますか。</t>
  </si>
  <si>
    <t xml:space="preserve">05-Q06</t>
  </si>
  <si>
    <t xml:space="preserve">移行後の認証と会計連携をどう実現しますか。</t>
  </si>
  <si>
    <t xml:space="preserve">05-Q07</t>
  </si>
  <si>
    <t xml:space="preserve">段階移行を推奨する理由を答えてください。</t>
  </si>
  <si>
    <t xml:space="preserve">05-Q08</t>
  </si>
  <si>
    <t xml:space="preserve">段階移行の並行稼働費を計算してください。</t>
  </si>
  <si>
    <t xml:space="preserve">05-Q09</t>
  </si>
  <si>
    <t xml:space="preserve">一括移行と段階移行の初期費用・並行稼働費を合わせた差額はいくらですか。</t>
  </si>
  <si>
    <t xml:space="preserve">05-Q10</t>
  </si>
  <si>
    <t xml:space="preserve">移行後の年間運用費と年間削減額を答えてください。</t>
  </si>
  <si>
    <t xml:space="preserve">05-Q11</t>
  </si>
  <si>
    <t xml:space="preserve">年間運用費の削減率を求めてください。</t>
  </si>
  <si>
    <t xml:space="preserve">05-Q12</t>
  </si>
  <si>
    <r>
      <rPr>
        <sz val="11"/>
        <rFont val="Noto Sans JP"/>
        <family val="0"/>
        <charset val="1"/>
      </rPr>
      <t xml:space="preserve">Wave 2</t>
    </r>
    <r>
      <rPr>
        <sz val="11"/>
        <rFont val="WenQuanYi Zen Hei"/>
        <family val="2"/>
      </rPr>
      <t xml:space="preserve">の判定日と移行日を答えてください。</t>
    </r>
  </si>
  <si>
    <t xml:space="preserve">05-Q13</t>
  </si>
  <si>
    <t xml:space="preserve">最初に移行するシステムと移行日を答えてください。</t>
  </si>
  <si>
    <t xml:space="preserve">05-Q14</t>
  </si>
  <si>
    <t xml:space="preserve">差分同期と件数照合を誰が何時に行いますか。</t>
  </si>
  <si>
    <t xml:space="preserve">05-Q15</t>
  </si>
  <si>
    <r>
      <rPr>
        <sz val="11"/>
        <rFont val="Noto Sans JP"/>
        <family val="0"/>
        <charset val="1"/>
      </rPr>
      <t xml:space="preserve">0:30</t>
    </r>
    <r>
      <rPr>
        <sz val="11"/>
        <rFont val="WenQuanYi Zen Hei"/>
        <family val="2"/>
      </rPr>
      <t xml:space="preserve">から最大</t>
    </r>
    <r>
      <rPr>
        <sz val="11"/>
        <rFont val="Noto Sans JP"/>
        <family val="0"/>
        <charset val="1"/>
      </rPr>
      <t xml:space="preserve">90</t>
    </r>
    <r>
      <rPr>
        <sz val="11"/>
        <rFont val="WenQuanYi Zen Hei"/>
        <family val="2"/>
      </rPr>
      <t xml:space="preserve">分の切戻しを開始した場合、完了予定は何時ですか。</t>
    </r>
  </si>
  <si>
    <t xml:space="preserve">05-Q16</t>
  </si>
  <si>
    <r>
      <rPr>
        <sz val="11"/>
        <rFont val="WenQuanYi Zen Hei"/>
        <family val="2"/>
      </rPr>
      <t xml:space="preserve">重要テーブル</t>
    </r>
    <r>
      <rPr>
        <sz val="11"/>
        <rFont val="Noto Sans JP"/>
        <family val="0"/>
        <charset val="1"/>
      </rPr>
      <t xml:space="preserve">1</t>
    </r>
    <r>
      <rPr>
        <sz val="11"/>
        <rFont val="WenQuanYi Zen Hei"/>
        <family val="2"/>
      </rPr>
      <t xml:space="preserve">つだけ件数が不一致で、機能が正常なら継続できますか。</t>
    </r>
  </si>
  <si>
    <t xml:space="preserve">05-Q17</t>
  </si>
  <si>
    <r>
      <rPr>
        <sz val="11"/>
        <rFont val="WenQuanYi Zen Hei"/>
        <family val="2"/>
      </rPr>
      <t xml:space="preserve">ポータルの復旧試験で</t>
    </r>
    <r>
      <rPr>
        <sz val="11"/>
        <rFont val="Noto Sans JP"/>
        <family val="0"/>
        <charset val="1"/>
      </rPr>
      <t xml:space="preserve">RTO3</t>
    </r>
    <r>
      <rPr>
        <sz val="11"/>
        <rFont val="WenQuanYi Zen Hei"/>
        <family val="2"/>
      </rPr>
      <t xml:space="preserve">時間、</t>
    </r>
    <r>
      <rPr>
        <sz val="11"/>
        <rFont val="Noto Sans JP"/>
        <family val="0"/>
        <charset val="1"/>
      </rPr>
      <t xml:space="preserve">RPO30</t>
    </r>
    <r>
      <rPr>
        <sz val="11"/>
        <rFont val="WenQuanYi Zen Hei"/>
        <family val="2"/>
      </rPr>
      <t xml:space="preserve">時間なら事前判定を通過できますか。</t>
    </r>
  </si>
  <si>
    <t xml:space="preserve">05-Q18</t>
  </si>
  <si>
    <t xml:space="preserve">申請総額と単純回収期間を求めてください。</t>
  </si>
  <si>
    <t xml:space="preserve">05-Q19</t>
  </si>
  <si>
    <t xml:space="preserve">投資申請の決裁者と回答期限を答えてください。</t>
  </si>
  <si>
    <t xml:space="preserve">05-Q20</t>
  </si>
  <si>
    <r>
      <rPr>
        <sz val="11"/>
        <rFont val="WenQuanYi Zen Hei"/>
        <family val="2"/>
      </rPr>
      <t xml:space="preserve">移行先クラウド</t>
    </r>
    <r>
      <rPr>
        <sz val="11"/>
        <rFont val="Noto Sans JP"/>
        <family val="0"/>
        <charset val="1"/>
      </rPr>
      <t xml:space="preserve">DB</t>
    </r>
    <r>
      <rPr>
        <sz val="11"/>
        <rFont val="WenQuanYi Zen Hei"/>
        <family val="2"/>
      </rPr>
      <t xml:space="preserve">の正式な製品名は何ですか。</t>
    </r>
  </si>
  <si>
    <t xml:space="preserve">クラウド移行計画：期待回答・評価記録</t>
  </si>
  <si>
    <t xml:space="preserve">情報システム部の高橋 彩。</t>
  </si>
  <si>
    <r>
      <rPr>
        <sz val="11"/>
        <rFont val="WenQuanYi Zen Hei"/>
        <family val="2"/>
      </rPr>
      <t xml:space="preserve">移行責任者は、情報システム部の高橋 彩です（スライド</t>
    </r>
    <r>
      <rPr>
        <sz val="11"/>
        <rFont val="Noto Sans JP"/>
        <family val="0"/>
        <charset val="1"/>
      </rPr>
      <t xml:space="preserve">1</t>
    </r>
    <r>
      <rPr>
        <sz val="11"/>
        <rFont val="WenQuanYi Zen Hei"/>
        <family val="2"/>
      </rPr>
      <t xml:space="preserve">）。</t>
    </r>
  </si>
  <si>
    <t xml:space="preserve">/tmp/out/05-Q01.txt</t>
  </si>
  <si>
    <t xml:space="preserve">対象は社内ポータルと分析基盤。基幹会計は対象外。</t>
  </si>
  <si>
    <r>
      <rPr>
        <sz val="11"/>
        <rFont val="WenQuanYi Zen Hei"/>
        <family val="2"/>
      </rPr>
      <t xml:space="preserve">今回の移行対象は「社内ポータル」と「分析基盤」の</t>
    </r>
    <r>
      <rPr>
        <sz val="11"/>
        <rFont val="Noto Sans JP"/>
        <family val="0"/>
        <charset val="1"/>
      </rPr>
      <t xml:space="preserve">2</t>
    </r>
    <r>
      <rPr>
        <sz val="11"/>
        <rFont val="WenQuanYi Zen Hei"/>
        <family val="2"/>
      </rPr>
      <t xml:space="preserve">システムです。対象外は「基幹会計」です。
</t>
    </r>
    <r>
      <rPr>
        <sz val="11"/>
        <rFont val="Noto Sans JP"/>
        <family val="0"/>
        <charset val="1"/>
      </rPr>
      <t xml:space="preserve">- </t>
    </r>
    <r>
      <rPr>
        <sz val="11"/>
        <rFont val="WenQuanYi Zen Hei"/>
        <family val="2"/>
      </rPr>
      <t xml:space="preserve">社内ポータル：</t>
    </r>
    <r>
      <rPr>
        <sz val="11"/>
        <rFont val="Noto Sans JP"/>
        <family val="0"/>
        <charset val="1"/>
      </rPr>
      <t xml:space="preserve">Wave 1</t>
    </r>
    <r>
      <rPr>
        <sz val="11"/>
        <rFont val="WenQuanYi Zen Hei"/>
        <family val="2"/>
      </rPr>
      <t xml:space="preserve">として</t>
    </r>
    <r>
      <rPr>
        <sz val="11"/>
        <rFont val="Noto Sans JP"/>
        <family val="0"/>
        <charset val="1"/>
      </rPr>
      <t xml:space="preserve">2027</t>
    </r>
    <r>
      <rPr>
        <sz val="11"/>
        <rFont val="WenQuanYi Zen Hei"/>
        <family val="2"/>
      </rPr>
      <t xml:space="preserve">年</t>
    </r>
    <r>
      <rPr>
        <sz val="11"/>
        <rFont val="Noto Sans JP"/>
        <family val="0"/>
        <charset val="1"/>
      </rPr>
      <t xml:space="preserve">2</t>
    </r>
    <r>
      <rPr>
        <sz val="11"/>
        <rFont val="WenQuanYi Zen Hei"/>
        <family val="2"/>
      </rPr>
      <t xml:space="preserve">月</t>
    </r>
    <r>
      <rPr>
        <sz val="11"/>
        <rFont val="Noto Sans JP"/>
        <family val="0"/>
        <charset val="1"/>
      </rPr>
      <t xml:space="preserve">6</t>
    </r>
    <r>
      <rPr>
        <sz val="11"/>
        <rFont val="WenQuanYi Zen Hei"/>
        <family val="2"/>
      </rPr>
      <t xml:space="preserve">日に移行します（</t>
    </r>
    <r>
      <rPr>
        <sz val="11"/>
        <rFont val="Noto Sans JP"/>
        <family val="0"/>
        <charset val="1"/>
      </rPr>
      <t xml:space="preserve">RTO 4</t>
    </r>
    <r>
      <rPr>
        <sz val="11"/>
        <rFont val="WenQuanYi Zen Hei"/>
        <family val="2"/>
      </rPr>
      <t xml:space="preserve">時間、</t>
    </r>
    <r>
      <rPr>
        <sz val="11"/>
        <rFont val="Noto Sans JP"/>
        <family val="0"/>
        <charset val="1"/>
      </rPr>
      <t xml:space="preserve">RPO 24</t>
    </r>
    <r>
      <rPr>
        <sz val="11"/>
        <rFont val="WenQuanYi Zen Hei"/>
        <family val="2"/>
      </rPr>
      <t xml:space="preserve">時間）。
</t>
    </r>
    <r>
      <rPr>
        <sz val="11"/>
        <rFont val="Noto Sans JP"/>
        <family val="0"/>
        <charset val="1"/>
      </rPr>
      <t xml:space="preserve">- </t>
    </r>
    <r>
      <rPr>
        <sz val="11"/>
        <rFont val="WenQuanYi Zen Hei"/>
        <family val="2"/>
      </rPr>
      <t xml:space="preserve">分析基盤：</t>
    </r>
    <r>
      <rPr>
        <sz val="11"/>
        <rFont val="Noto Sans JP"/>
        <family val="0"/>
        <charset val="1"/>
      </rPr>
      <t xml:space="preserve">Wave 2</t>
    </r>
    <r>
      <rPr>
        <sz val="11"/>
        <rFont val="WenQuanYi Zen Hei"/>
        <family val="2"/>
      </rPr>
      <t xml:space="preserve">として</t>
    </r>
    <r>
      <rPr>
        <sz val="11"/>
        <rFont val="Noto Sans JP"/>
        <family val="0"/>
        <charset val="1"/>
      </rPr>
      <t xml:space="preserve">2027</t>
    </r>
    <r>
      <rPr>
        <sz val="11"/>
        <rFont val="WenQuanYi Zen Hei"/>
        <family val="2"/>
      </rPr>
      <t xml:space="preserve">年</t>
    </r>
    <r>
      <rPr>
        <sz val="11"/>
        <rFont val="Noto Sans JP"/>
        <family val="0"/>
        <charset val="1"/>
      </rPr>
      <t xml:space="preserve">3</t>
    </r>
    <r>
      <rPr>
        <sz val="11"/>
        <rFont val="WenQuanYi Zen Hei"/>
        <family val="2"/>
      </rPr>
      <t xml:space="preserve">月</t>
    </r>
    <r>
      <rPr>
        <sz val="11"/>
        <rFont val="Noto Sans JP"/>
        <family val="0"/>
        <charset val="1"/>
      </rPr>
      <t xml:space="preserve">6</t>
    </r>
    <r>
      <rPr>
        <sz val="11"/>
        <rFont val="WenQuanYi Zen Hei"/>
        <family val="2"/>
      </rPr>
      <t xml:space="preserve">日に移行します（</t>
    </r>
    <r>
      <rPr>
        <sz val="11"/>
        <rFont val="Noto Sans JP"/>
        <family val="0"/>
        <charset val="1"/>
      </rPr>
      <t xml:space="preserve">RTO 8</t>
    </r>
    <r>
      <rPr>
        <sz val="11"/>
        <rFont val="WenQuanYi Zen Hei"/>
        <family val="2"/>
      </rPr>
      <t xml:space="preserve">時間、</t>
    </r>
    <r>
      <rPr>
        <sz val="11"/>
        <rFont val="Noto Sans JP"/>
        <family val="0"/>
        <charset val="1"/>
      </rPr>
      <t xml:space="preserve">RPO 24</t>
    </r>
    <r>
      <rPr>
        <sz val="11"/>
        <rFont val="WenQuanYi Zen Hei"/>
        <family val="2"/>
      </rPr>
      <t xml:space="preserve">時間）。
</t>
    </r>
    <r>
      <rPr>
        <sz val="11"/>
        <rFont val="Noto Sans JP"/>
        <family val="0"/>
        <charset val="1"/>
      </rPr>
      <t xml:space="preserve">- </t>
    </r>
    <r>
      <rPr>
        <sz val="11"/>
        <rFont val="WenQuanYi Zen Hei"/>
        <family val="2"/>
      </rPr>
      <t xml:space="preserve">基幹会計：対象外です（</t>
    </r>
    <r>
      <rPr>
        <sz val="11"/>
        <rFont val="Noto Sans JP"/>
        <family val="0"/>
        <charset val="1"/>
      </rPr>
      <t xml:space="preserve">RTO 1</t>
    </r>
    <r>
      <rPr>
        <sz val="11"/>
        <rFont val="WenQuanYi Zen Hei"/>
        <family val="2"/>
      </rPr>
      <t xml:space="preserve">時間、</t>
    </r>
    <r>
      <rPr>
        <sz val="11"/>
        <rFont val="Noto Sans JP"/>
        <family val="0"/>
        <charset val="1"/>
      </rPr>
      <t xml:space="preserve">RPO 1</t>
    </r>
    <r>
      <rPr>
        <sz val="11"/>
        <rFont val="WenQuanYi Zen Hei"/>
        <family val="2"/>
      </rPr>
      <t xml:space="preserve">時間）。会計データの正本は現行の基幹会計に残します。移行後も、暗号化した経路を通す夜間バッチで連携を続けます。
（根拠：スライド</t>
    </r>
    <r>
      <rPr>
        <sz val="11"/>
        <rFont val="Noto Sans JP"/>
        <family val="0"/>
        <charset val="1"/>
      </rPr>
      <t xml:space="preserve">2</t>
    </r>
    <r>
      <rPr>
        <sz val="11"/>
        <rFont val="WenQuanYi Zen Hei"/>
        <family val="2"/>
      </rPr>
      <t xml:space="preserve">、スライド</t>
    </r>
    <r>
      <rPr>
        <sz val="11"/>
        <rFont val="Noto Sans JP"/>
        <family val="0"/>
        <charset val="1"/>
      </rPr>
      <t xml:space="preserve">3</t>
    </r>
    <r>
      <rPr>
        <sz val="11"/>
        <rFont val="WenQuanYi Zen Hei"/>
        <family val="2"/>
      </rPr>
      <t xml:space="preserve">、スライド</t>
    </r>
    <r>
      <rPr>
        <sz val="11"/>
        <rFont val="Noto Sans JP"/>
        <family val="0"/>
        <charset val="1"/>
      </rPr>
      <t xml:space="preserve">4</t>
    </r>
    <r>
      <rPr>
        <sz val="11"/>
        <rFont val="WenQuanYi Zen Hei"/>
        <family val="2"/>
      </rPr>
      <t xml:space="preserve">）</t>
    </r>
  </si>
  <si>
    <t xml:space="preserve">/tmp/out/05-Q02.txt</t>
  </si>
  <si>
    <r>
      <rPr>
        <sz val="11"/>
        <rFont val="Noto Sans JP"/>
        <family val="0"/>
        <charset val="1"/>
      </rPr>
      <t xml:space="preserve">RTO 4</t>
    </r>
    <r>
      <rPr>
        <sz val="11"/>
        <rFont val="WenQuanYi Zen Hei"/>
        <family val="2"/>
      </rPr>
      <t xml:space="preserve">時間、</t>
    </r>
    <r>
      <rPr>
        <sz val="11"/>
        <rFont val="Noto Sans JP"/>
        <family val="0"/>
        <charset val="1"/>
      </rPr>
      <t xml:space="preserve">RPO 24</t>
    </r>
    <r>
      <rPr>
        <sz val="11"/>
        <rFont val="WenQuanYi Zen Hei"/>
        <family val="2"/>
      </rPr>
      <t xml:space="preserve">時間。</t>
    </r>
  </si>
  <si>
    <r>
      <rPr>
        <sz val="11"/>
        <rFont val="WenQuanYi Zen Hei"/>
        <family val="2"/>
      </rPr>
      <t xml:space="preserve">社内ポータルの</t>
    </r>
    <r>
      <rPr>
        <sz val="11"/>
        <rFont val="Noto Sans JP"/>
        <family val="0"/>
        <charset val="1"/>
      </rPr>
      <t xml:space="preserve">RTO</t>
    </r>
    <r>
      <rPr>
        <sz val="11"/>
        <rFont val="WenQuanYi Zen Hei"/>
        <family val="2"/>
      </rPr>
      <t xml:space="preserve">は</t>
    </r>
    <r>
      <rPr>
        <sz val="11"/>
        <rFont val="Noto Sans JP"/>
        <family val="0"/>
        <charset val="1"/>
      </rPr>
      <t xml:space="preserve">4</t>
    </r>
    <r>
      <rPr>
        <sz val="11"/>
        <rFont val="WenQuanYi Zen Hei"/>
        <family val="2"/>
      </rPr>
      <t xml:space="preserve">時間、</t>
    </r>
    <r>
      <rPr>
        <sz val="11"/>
        <rFont val="Noto Sans JP"/>
        <family val="0"/>
        <charset val="1"/>
      </rPr>
      <t xml:space="preserve">RPO</t>
    </r>
    <r>
      <rPr>
        <sz val="11"/>
        <rFont val="WenQuanYi Zen Hei"/>
        <family val="2"/>
      </rPr>
      <t xml:space="preserve">は</t>
    </r>
    <r>
      <rPr>
        <sz val="11"/>
        <rFont val="Noto Sans JP"/>
        <family val="0"/>
        <charset val="1"/>
      </rPr>
      <t xml:space="preserve">24</t>
    </r>
    <r>
      <rPr>
        <sz val="11"/>
        <rFont val="WenQuanYi Zen Hei"/>
        <family val="2"/>
      </rPr>
      <t xml:space="preserve">時間です（</t>
    </r>
    <r>
      <rPr>
        <sz val="11"/>
        <rFont val="Noto Sans JP"/>
        <family val="0"/>
        <charset val="1"/>
      </rPr>
      <t xml:space="preserve">Wave 1</t>
    </r>
    <r>
      <rPr>
        <sz val="11"/>
        <rFont val="WenQuanYi Zen Hei"/>
        <family val="2"/>
      </rPr>
      <t xml:space="preserve">、</t>
    </r>
    <r>
      <rPr>
        <sz val="11"/>
        <rFont val="Noto Sans JP"/>
        <family val="0"/>
        <charset val="1"/>
      </rPr>
      <t xml:space="preserve">2027</t>
    </r>
    <r>
      <rPr>
        <sz val="11"/>
        <rFont val="WenQuanYi Zen Hei"/>
        <family val="2"/>
      </rPr>
      <t xml:space="preserve">年</t>
    </r>
    <r>
      <rPr>
        <sz val="11"/>
        <rFont val="Noto Sans JP"/>
        <family val="0"/>
        <charset val="1"/>
      </rPr>
      <t xml:space="preserve">2</t>
    </r>
    <r>
      <rPr>
        <sz val="11"/>
        <rFont val="WenQuanYi Zen Hei"/>
        <family val="2"/>
      </rPr>
      <t xml:space="preserve">月</t>
    </r>
    <r>
      <rPr>
        <sz val="11"/>
        <rFont val="Noto Sans JP"/>
        <family val="0"/>
        <charset val="1"/>
      </rPr>
      <t xml:space="preserve">6</t>
    </r>
    <r>
      <rPr>
        <sz val="11"/>
        <rFont val="WenQuanYi Zen Hei"/>
        <family val="2"/>
      </rPr>
      <t xml:space="preserve">日移行対象）。なお、これらは目標値であり、移行当日の計画停止枠とは異なります。</t>
    </r>
  </si>
  <si>
    <t xml:space="preserve">/tmp/out/05-Q03.txt</t>
  </si>
  <si>
    <r>
      <rPr>
        <sz val="11"/>
        <rFont val="WenQuanYi Zen Hei"/>
        <family val="2"/>
      </rPr>
      <t xml:space="preserve">社内ポータル</t>
    </r>
    <r>
      <rPr>
        <sz val="11"/>
        <rFont val="Noto Sans JP"/>
        <family val="0"/>
        <charset val="1"/>
      </rPr>
      <t xml:space="preserve">4</t>
    </r>
    <r>
      <rPr>
        <sz val="11"/>
        <rFont val="WenQuanYi Zen Hei"/>
        <family val="2"/>
      </rPr>
      <t xml:space="preserve">時間。分析基盤は</t>
    </r>
    <r>
      <rPr>
        <sz val="11"/>
        <rFont val="Noto Sans JP"/>
        <family val="0"/>
        <charset val="1"/>
      </rPr>
      <t xml:space="preserve">8</t>
    </r>
    <r>
      <rPr>
        <sz val="11"/>
        <rFont val="WenQuanYi Zen Hei"/>
        <family val="2"/>
      </rPr>
      <t xml:space="preserve">時間。</t>
    </r>
  </si>
  <si>
    <r>
      <rPr>
        <sz val="11"/>
        <rFont val="WenQuanYi Zen Hei"/>
        <family val="2"/>
      </rPr>
      <t xml:space="preserve">社内ポータルです。移行対象</t>
    </r>
    <r>
      <rPr>
        <sz val="11"/>
        <rFont val="Noto Sans JP"/>
        <family val="0"/>
        <charset val="1"/>
      </rPr>
      <t xml:space="preserve">2</t>
    </r>
    <r>
      <rPr>
        <sz val="11"/>
        <rFont val="WenQuanYi Zen Hei"/>
        <family val="2"/>
      </rPr>
      <t xml:space="preserve">システムの</t>
    </r>
    <r>
      <rPr>
        <sz val="11"/>
        <rFont val="Noto Sans JP"/>
        <family val="0"/>
        <charset val="1"/>
      </rPr>
      <t xml:space="preserve">RTO</t>
    </r>
    <r>
      <rPr>
        <sz val="11"/>
        <rFont val="WenQuanYi Zen Hei"/>
        <family val="2"/>
      </rPr>
      <t xml:space="preserve">は社内ポータル（</t>
    </r>
    <r>
      <rPr>
        <sz val="11"/>
        <rFont val="Noto Sans JP"/>
        <family val="0"/>
        <charset val="1"/>
      </rPr>
      <t xml:space="preserve">Wave 1</t>
    </r>
    <r>
      <rPr>
        <sz val="11"/>
        <rFont val="WenQuanYi Zen Hei"/>
        <family val="2"/>
      </rPr>
      <t xml:space="preserve">）が</t>
    </r>
    <r>
      <rPr>
        <sz val="11"/>
        <rFont val="Noto Sans JP"/>
        <family val="0"/>
        <charset val="1"/>
      </rPr>
      <t xml:space="preserve">4</t>
    </r>
    <r>
      <rPr>
        <sz val="11"/>
        <rFont val="WenQuanYi Zen Hei"/>
        <family val="2"/>
      </rPr>
      <t xml:space="preserve">時間、分析基盤（</t>
    </r>
    <r>
      <rPr>
        <sz val="11"/>
        <rFont val="Noto Sans JP"/>
        <family val="0"/>
        <charset val="1"/>
      </rPr>
      <t xml:space="preserve">Wave 2</t>
    </r>
    <r>
      <rPr>
        <sz val="11"/>
        <rFont val="WenQuanYi Zen Hei"/>
        <family val="2"/>
      </rPr>
      <t xml:space="preserve">）が</t>
    </r>
    <r>
      <rPr>
        <sz val="11"/>
        <rFont val="Noto Sans JP"/>
        <family val="0"/>
        <charset val="1"/>
      </rPr>
      <t xml:space="preserve">8</t>
    </r>
    <r>
      <rPr>
        <sz val="11"/>
        <rFont val="WenQuanYi Zen Hei"/>
        <family val="2"/>
      </rPr>
      <t xml:space="preserve">時間で、社内ポータルの方が</t>
    </r>
    <r>
      <rPr>
        <sz val="11"/>
        <rFont val="Noto Sans JP"/>
        <family val="0"/>
        <charset val="1"/>
      </rPr>
      <t xml:space="preserve">4</t>
    </r>
    <r>
      <rPr>
        <sz val="11"/>
        <rFont val="WenQuanYi Zen Hei"/>
        <family val="2"/>
      </rPr>
      <t xml:space="preserve">時間短くなっています（スライド</t>
    </r>
    <r>
      <rPr>
        <sz val="11"/>
        <rFont val="Noto Sans JP"/>
        <family val="0"/>
        <charset val="1"/>
      </rPr>
      <t xml:space="preserve">3</t>
    </r>
    <r>
      <rPr>
        <sz val="11"/>
        <rFont val="WenQuanYi Zen Hei"/>
        <family val="2"/>
      </rPr>
      <t xml:space="preserve">）。なお、基幹会計（</t>
    </r>
    <r>
      <rPr>
        <sz val="11"/>
        <rFont val="Noto Sans JP"/>
        <family val="0"/>
        <charset val="1"/>
      </rPr>
      <t xml:space="preserve">RTO 1</t>
    </r>
    <r>
      <rPr>
        <sz val="11"/>
        <rFont val="WenQuanYi Zen Hei"/>
        <family val="2"/>
      </rPr>
      <t xml:space="preserve">時間）は今回の移行対象外です。</t>
    </r>
  </si>
  <si>
    <t xml:space="preserve">/tmp/out/05-Q04.txt</t>
  </si>
  <si>
    <t xml:space="preserve">現行基幹会計。</t>
  </si>
  <si>
    <r>
      <rPr>
        <sz val="11"/>
        <rFont val="WenQuanYi Zen Hei"/>
        <family val="2"/>
      </rPr>
      <t xml:space="preserve">会計データの正本は、現行の基幹会計に残します（スライド</t>
    </r>
    <r>
      <rPr>
        <sz val="11"/>
        <rFont val="Noto Sans JP"/>
        <family val="0"/>
        <charset val="1"/>
      </rPr>
      <t xml:space="preserve">4</t>
    </r>
    <r>
      <rPr>
        <sz val="11"/>
        <rFont val="WenQuanYi Zen Hei"/>
        <family val="2"/>
      </rPr>
      <t xml:space="preserve">注記）。基幹会計は今回の移行対象外で、移行後も暗号化経路の夜間バッチで連携を維持します（スライド</t>
    </r>
    <r>
      <rPr>
        <sz val="11"/>
        <rFont val="Noto Sans JP"/>
        <family val="0"/>
        <charset val="1"/>
      </rPr>
      <t xml:space="preserve">2</t>
    </r>
    <r>
      <rPr>
        <sz val="11"/>
        <rFont val="WenQuanYi Zen Hei"/>
        <family val="2"/>
      </rPr>
      <t xml:space="preserve">・</t>
    </r>
    <r>
      <rPr>
        <sz val="11"/>
        <rFont val="Noto Sans JP"/>
        <family val="0"/>
        <charset val="1"/>
      </rPr>
      <t xml:space="preserve">4</t>
    </r>
    <r>
      <rPr>
        <sz val="11"/>
        <rFont val="WenQuanYi Zen Hei"/>
        <family val="2"/>
      </rPr>
      <t xml:space="preserve">）。</t>
    </r>
  </si>
  <si>
    <r>
      <rPr>
        <sz val="11"/>
        <rFont val="WenQuanYi Zen Hei"/>
        <family val="2"/>
      </rPr>
      <t xml:space="preserve">回答内容は資料どおりで一致。なお回答エージェントの報告では、書式を合わせるために出力先の他問回答ファイル（</t>
    </r>
    <r>
      <rPr>
        <sz val="11"/>
        <rFont val="Noto Sans JP"/>
        <family val="0"/>
        <charset val="1"/>
      </rPr>
      <t xml:space="preserve">04-Q05.txt</t>
    </r>
    <r>
      <rPr>
        <sz val="11"/>
        <rFont val="WenQuanYi Zen Hei"/>
        <family val="2"/>
      </rPr>
      <t xml:space="preserve">等）を参照しており、独立性に軽微な懸念あり（正解表は参照していない）。</t>
    </r>
  </si>
  <si>
    <t xml:space="preserve">/tmp/out/05-Q05.txt</t>
  </si>
  <si>
    <r>
      <rPr>
        <sz val="11"/>
        <rFont val="WenQuanYi Zen Hei"/>
        <family val="2"/>
      </rPr>
      <t xml:space="preserve">既存</t>
    </r>
    <r>
      <rPr>
        <sz val="11"/>
        <rFont val="Noto Sans JP"/>
        <family val="0"/>
        <charset val="1"/>
      </rPr>
      <t xml:space="preserve">ID</t>
    </r>
    <r>
      <rPr>
        <sz val="11"/>
        <rFont val="WenQuanYi Zen Hei"/>
        <family val="2"/>
      </rPr>
      <t xml:space="preserve">基盤と連携し、会計とは暗号化経路で夜間バッチ連携する。</t>
    </r>
  </si>
  <si>
    <r>
      <rPr>
        <sz val="11"/>
        <rFont val="WenQuanYi Zen Hei"/>
        <family val="2"/>
      </rPr>
      <t xml:space="preserve">資料（スライド</t>
    </r>
    <r>
      <rPr>
        <sz val="11"/>
        <rFont val="Noto Sans JP"/>
        <family val="0"/>
        <charset val="1"/>
      </rPr>
      <t xml:space="preserve">4</t>
    </r>
    <r>
      <rPr>
        <sz val="11"/>
        <rFont val="WenQuanYi Zen Hei"/>
        <family val="2"/>
      </rPr>
      <t xml:space="preserve">「構成変更とデータの扱い」）によると、移行後の認証と会計連携は次のように実現します。
■ 認証
</t>
    </r>
    <r>
      <rPr>
        <sz val="11"/>
        <rFont val="Noto Sans JP"/>
        <family val="0"/>
        <charset val="1"/>
      </rPr>
      <t xml:space="preserve">- </t>
    </r>
    <r>
      <rPr>
        <sz val="11"/>
        <rFont val="WenQuanYi Zen Hei"/>
        <family val="2"/>
      </rPr>
      <t xml:space="preserve">現行：社内</t>
    </r>
    <r>
      <rPr>
        <sz val="11"/>
        <rFont val="Noto Sans JP"/>
        <family val="0"/>
        <charset val="1"/>
      </rPr>
      <t xml:space="preserve">ID</t>
    </r>
    <r>
      <rPr>
        <sz val="11"/>
        <rFont val="WenQuanYi Zen Hei"/>
        <family val="2"/>
      </rPr>
      <t xml:space="preserve">基盤
</t>
    </r>
    <r>
      <rPr>
        <sz val="11"/>
        <rFont val="Noto Sans JP"/>
        <family val="0"/>
        <charset val="1"/>
      </rPr>
      <t xml:space="preserve">- </t>
    </r>
    <r>
      <rPr>
        <sz val="11"/>
        <rFont val="WenQuanYi Zen Hei"/>
        <family val="2"/>
      </rPr>
      <t xml:space="preserve">移行後：既存</t>
    </r>
    <r>
      <rPr>
        <sz val="11"/>
        <rFont val="Noto Sans JP"/>
        <family val="0"/>
        <charset val="1"/>
      </rPr>
      <t xml:space="preserve">ID</t>
    </r>
    <r>
      <rPr>
        <sz val="11"/>
        <rFont val="WenQuanYi Zen Hei"/>
        <family val="2"/>
      </rPr>
      <t xml:space="preserve">基盤と連携して認証する（新しい</t>
    </r>
    <r>
      <rPr>
        <sz val="11"/>
        <rFont val="Noto Sans JP"/>
        <family val="0"/>
        <charset val="1"/>
      </rPr>
      <t xml:space="preserve">ID</t>
    </r>
    <r>
      <rPr>
        <sz val="11"/>
        <rFont val="WenQuanYi Zen Hei"/>
        <family val="2"/>
      </rPr>
      <t xml:space="preserve">基盤を作るのではなく、今の社内</t>
    </r>
    <r>
      <rPr>
        <sz val="11"/>
        <rFont val="Noto Sans JP"/>
        <family val="0"/>
        <charset val="1"/>
      </rPr>
      <t xml:space="preserve">ID</t>
    </r>
    <r>
      <rPr>
        <sz val="11"/>
        <rFont val="WenQuanYi Zen Hei"/>
        <family val="2"/>
      </rPr>
      <t xml:space="preserve">基盤をクラウド側とつなぐ）
■ 基幹会計連携
</t>
    </r>
    <r>
      <rPr>
        <sz val="11"/>
        <rFont val="Noto Sans JP"/>
        <family val="0"/>
        <charset val="1"/>
      </rPr>
      <t xml:space="preserve">- </t>
    </r>
    <r>
      <rPr>
        <sz val="11"/>
        <rFont val="WenQuanYi Zen Hei"/>
        <family val="2"/>
      </rPr>
      <t xml:space="preserve">現行：夜間バッチ
</t>
    </r>
    <r>
      <rPr>
        <sz val="11"/>
        <rFont val="Noto Sans JP"/>
        <family val="0"/>
        <charset val="1"/>
      </rPr>
      <t xml:space="preserve">- </t>
    </r>
    <r>
      <rPr>
        <sz val="11"/>
        <rFont val="WenQuanYi Zen Hei"/>
        <family val="2"/>
      </rPr>
      <t xml:space="preserve">移行後：暗号化した経路で夜間バッチを続ける（連携の方式とタイミングは今と同じで、通信経路を暗号化する）
</t>
    </r>
    <r>
      <rPr>
        <sz val="11"/>
        <rFont val="Noto Sans JP"/>
        <family val="0"/>
        <charset val="1"/>
      </rPr>
      <t xml:space="preserve">- </t>
    </r>
    <r>
      <rPr>
        <sz val="11"/>
        <rFont val="WenQuanYi Zen Hei"/>
        <family val="2"/>
      </rPr>
      <t xml:space="preserve">基幹会計そのものは今回の移行対象ではありません。会計データの正本も現行の基幹会計に残します。
スライドの見出しは「移行後も基幹会計との連携を維持する」です。
補足
</t>
    </r>
    <r>
      <rPr>
        <sz val="11"/>
        <rFont val="Noto Sans JP"/>
        <family val="0"/>
        <charset val="1"/>
      </rPr>
      <t xml:space="preserve">- </t>
    </r>
    <r>
      <rPr>
        <sz val="11"/>
        <rFont val="WenQuanYi Zen Hei"/>
        <family val="2"/>
      </rPr>
      <t xml:space="preserve">移行先サービスの製品名はまだ決まっていません。このため、</t>
    </r>
    <r>
      <rPr>
        <sz val="11"/>
        <rFont val="Noto Sans JP"/>
        <family val="0"/>
        <charset val="1"/>
      </rPr>
      <t xml:space="preserve">ID</t>
    </r>
    <r>
      <rPr>
        <sz val="11"/>
        <rFont val="WenQuanYi Zen Hei"/>
        <family val="2"/>
      </rPr>
      <t xml:space="preserve">連携の具体的な方式（プロトコルなど）や暗号化経路の具体的な構成は資料に書かれていません。
</t>
    </r>
    <r>
      <rPr>
        <sz val="11"/>
        <rFont val="Noto Sans JP"/>
        <family val="0"/>
        <charset val="1"/>
      </rPr>
      <t xml:space="preserve">- </t>
    </r>
    <r>
      <rPr>
        <sz val="11"/>
        <rFont val="WenQuanYi Zen Hei"/>
        <family val="2"/>
      </rPr>
      <t xml:space="preserve">移行当日の判定では「ログインと主要検索」が両方正常であることが必須条件です（スライド</t>
    </r>
    <r>
      <rPr>
        <sz val="11"/>
        <rFont val="Noto Sans JP"/>
        <family val="0"/>
        <charset val="1"/>
      </rPr>
      <t xml:space="preserve">9</t>
    </r>
    <r>
      <rPr>
        <sz val="11"/>
        <rFont val="WenQuanYi Zen Hei"/>
        <family val="2"/>
      </rPr>
      <t xml:space="preserve">）。認証が正しく動くかは、この判定で確認します。</t>
    </r>
  </si>
  <si>
    <t xml:space="preserve">/tmp/out/05-Q06.txt</t>
  </si>
  <si>
    <t xml:space="preserve">システム別に検証でき、一括移行の同時障害リスクを抑えられるため。</t>
  </si>
  <si>
    <r>
      <rPr>
        <sz val="11"/>
        <rFont val="WenQuanYi Zen Hei"/>
        <family val="2"/>
      </rPr>
      <t xml:space="preserve">段階移行を推奨する理由は、システムごとに分けて移行・検証でき、停止リスクを抑えられるためです。
</t>
    </r>
    <r>
      <rPr>
        <sz val="11"/>
        <rFont val="Noto Sans JP"/>
        <family val="0"/>
        <charset val="1"/>
      </rPr>
      <t xml:space="preserve">- </t>
    </r>
    <r>
      <rPr>
        <sz val="11"/>
        <rFont val="WenQuanYi Zen Hei"/>
        <family val="2"/>
      </rPr>
      <t xml:space="preserve">一括移行（初期費用</t>
    </r>
    <r>
      <rPr>
        <sz val="11"/>
        <rFont val="Noto Sans JP"/>
        <family val="0"/>
        <charset val="1"/>
      </rPr>
      <t xml:space="preserve">800</t>
    </r>
    <r>
      <rPr>
        <sz val="11"/>
        <rFont val="WenQuanYi Zen Hei"/>
        <family val="2"/>
      </rPr>
      <t xml:space="preserve">万円、並行稼働費</t>
    </r>
    <r>
      <rPr>
        <sz val="11"/>
        <rFont val="Noto Sans JP"/>
        <family val="0"/>
        <charset val="1"/>
      </rPr>
      <t xml:space="preserve">0</t>
    </r>
    <r>
      <rPr>
        <sz val="11"/>
        <rFont val="WenQuanYi Zen Hei"/>
        <family val="2"/>
      </rPr>
      <t xml:space="preserve">万円）は費用は最も安いものの、同時に障害が起きた場合の影響が大きい（スライド</t>
    </r>
    <r>
      <rPr>
        <sz val="11"/>
        <rFont val="Noto Sans JP"/>
        <family val="0"/>
        <charset val="1"/>
      </rPr>
      <t xml:space="preserve">5</t>
    </r>
    <r>
      <rPr>
        <sz val="11"/>
        <rFont val="WenQuanYi Zen Hei"/>
        <family val="2"/>
      </rPr>
      <t xml:space="preserve">）。
</t>
    </r>
    <r>
      <rPr>
        <sz val="11"/>
        <rFont val="Noto Sans JP"/>
        <family val="0"/>
        <charset val="1"/>
      </rPr>
      <t xml:space="preserve">- </t>
    </r>
    <r>
      <rPr>
        <sz val="11"/>
        <rFont val="WenQuanYi Zen Hei"/>
        <family val="2"/>
      </rPr>
      <t xml:space="preserve">全面再構築（初期費用</t>
    </r>
    <r>
      <rPr>
        <sz val="11"/>
        <rFont val="Noto Sans JP"/>
        <family val="0"/>
        <charset val="1"/>
      </rPr>
      <t xml:space="preserve">1,500</t>
    </r>
    <r>
      <rPr>
        <sz val="11"/>
        <rFont val="WenQuanYi Zen Hei"/>
        <family val="2"/>
      </rPr>
      <t xml:space="preserve">万円、並行稼働費</t>
    </r>
    <r>
      <rPr>
        <sz val="11"/>
        <rFont val="Noto Sans JP"/>
        <family val="0"/>
        <charset val="1"/>
      </rPr>
      <t xml:space="preserve">150</t>
    </r>
    <r>
      <rPr>
        <sz val="11"/>
        <rFont val="WenQuanYi Zen Hei"/>
        <family val="2"/>
      </rPr>
      <t xml:space="preserve">万円）は、年度内に完了させることが難しい（スライド</t>
    </r>
    <r>
      <rPr>
        <sz val="11"/>
        <rFont val="Noto Sans JP"/>
        <family val="0"/>
        <charset val="1"/>
      </rPr>
      <t xml:space="preserve">5</t>
    </r>
    <r>
      <rPr>
        <sz val="11"/>
        <rFont val="WenQuanYi Zen Hei"/>
        <family val="2"/>
      </rPr>
      <t xml:space="preserve">）。
</t>
    </r>
    <r>
      <rPr>
        <sz val="11"/>
        <rFont val="Noto Sans JP"/>
        <family val="0"/>
        <charset val="1"/>
      </rPr>
      <t xml:space="preserve">- </t>
    </r>
    <r>
      <rPr>
        <sz val="11"/>
        <rFont val="WenQuanYi Zen Hei"/>
        <family val="2"/>
      </rPr>
      <t xml:space="preserve">段階移行（初期費用</t>
    </r>
    <r>
      <rPr>
        <sz val="11"/>
        <rFont val="Noto Sans JP"/>
        <family val="0"/>
        <charset val="1"/>
      </rPr>
      <t xml:space="preserve">900</t>
    </r>
    <r>
      <rPr>
        <sz val="11"/>
        <rFont val="WenQuanYi Zen Hei"/>
        <family val="2"/>
      </rPr>
      <t xml:space="preserve">万円、並行稼働費</t>
    </r>
    <r>
      <rPr>
        <sz val="11"/>
        <rFont val="Noto Sans JP"/>
        <family val="0"/>
        <charset val="1"/>
      </rPr>
      <t xml:space="preserve">90</t>
    </r>
    <r>
      <rPr>
        <sz val="11"/>
        <rFont val="WenQuanYi Zen Hei"/>
        <family val="2"/>
      </rPr>
      <t xml:space="preserve">万円）は、システム別に検証できる（スライド</t>
    </r>
    <r>
      <rPr>
        <sz val="11"/>
        <rFont val="Noto Sans JP"/>
        <family val="0"/>
        <charset val="1"/>
      </rPr>
      <t xml:space="preserve">5</t>
    </r>
    <r>
      <rPr>
        <sz val="11"/>
        <rFont val="WenQuanYi Zen Hei"/>
        <family val="2"/>
      </rPr>
      <t xml:space="preserve">）。基幹会計を残し、社内ポータル（</t>
    </r>
    <r>
      <rPr>
        <sz val="11"/>
        <rFont val="Noto Sans JP"/>
        <family val="0"/>
        <charset val="1"/>
      </rPr>
      <t xml:space="preserve">Wave 1</t>
    </r>
    <r>
      <rPr>
        <sz val="11"/>
        <rFont val="WenQuanYi Zen Hei"/>
        <family val="2"/>
      </rPr>
      <t xml:space="preserve">、</t>
    </r>
    <r>
      <rPr>
        <sz val="11"/>
        <rFont val="Noto Sans JP"/>
        <family val="0"/>
        <charset val="1"/>
      </rPr>
      <t xml:space="preserve">2027</t>
    </r>
    <r>
      <rPr>
        <sz val="11"/>
        <rFont val="WenQuanYi Zen Hei"/>
        <family val="2"/>
      </rPr>
      <t xml:space="preserve">年</t>
    </r>
    <r>
      <rPr>
        <sz val="11"/>
        <rFont val="Noto Sans JP"/>
        <family val="0"/>
        <charset val="1"/>
      </rPr>
      <t xml:space="preserve">2</t>
    </r>
    <r>
      <rPr>
        <sz val="11"/>
        <rFont val="WenQuanYi Zen Hei"/>
        <family val="2"/>
      </rPr>
      <t xml:space="preserve">月</t>
    </r>
    <r>
      <rPr>
        <sz val="11"/>
        <rFont val="Noto Sans JP"/>
        <family val="0"/>
        <charset val="1"/>
      </rPr>
      <t xml:space="preserve">6</t>
    </r>
    <r>
      <rPr>
        <sz val="11"/>
        <rFont val="WenQuanYi Zen Hei"/>
        <family val="2"/>
      </rPr>
      <t xml:space="preserve">日）と分析基盤（</t>
    </r>
    <r>
      <rPr>
        <sz val="11"/>
        <rFont val="Noto Sans JP"/>
        <family val="0"/>
        <charset val="1"/>
      </rPr>
      <t xml:space="preserve">Wave 2</t>
    </r>
    <r>
      <rPr>
        <sz val="11"/>
        <rFont val="WenQuanYi Zen Hei"/>
        <family val="2"/>
      </rPr>
      <t xml:space="preserve">、</t>
    </r>
    <r>
      <rPr>
        <sz val="11"/>
        <rFont val="Noto Sans JP"/>
        <family val="0"/>
        <charset val="1"/>
      </rPr>
      <t xml:space="preserve">2027</t>
    </r>
    <r>
      <rPr>
        <sz val="11"/>
        <rFont val="WenQuanYi Zen Hei"/>
        <family val="2"/>
      </rPr>
      <t xml:space="preserve">年</t>
    </r>
    <r>
      <rPr>
        <sz val="11"/>
        <rFont val="Noto Sans JP"/>
        <family val="0"/>
        <charset val="1"/>
      </rPr>
      <t xml:space="preserve">3</t>
    </r>
    <r>
      <rPr>
        <sz val="11"/>
        <rFont val="WenQuanYi Zen Hei"/>
        <family val="2"/>
      </rPr>
      <t xml:space="preserve">月</t>
    </r>
    <r>
      <rPr>
        <sz val="11"/>
        <rFont val="Noto Sans JP"/>
        <family val="0"/>
        <charset val="1"/>
      </rPr>
      <t xml:space="preserve">6</t>
    </r>
    <r>
      <rPr>
        <sz val="11"/>
        <rFont val="WenQuanYi Zen Hei"/>
        <family val="2"/>
      </rPr>
      <t xml:space="preserve">日）を順番に移行することで、停止リスクを抑えられる（スライド</t>
    </r>
    <r>
      <rPr>
        <sz val="11"/>
        <rFont val="Noto Sans JP"/>
        <family val="0"/>
        <charset val="1"/>
      </rPr>
      <t xml:space="preserve">2</t>
    </r>
    <r>
      <rPr>
        <sz val="11"/>
        <rFont val="WenQuanYi Zen Hei"/>
        <family val="2"/>
      </rPr>
      <t xml:space="preserve">）。
</t>
    </r>
    <r>
      <rPr>
        <sz val="11"/>
        <rFont val="Noto Sans JP"/>
        <family val="0"/>
        <charset val="1"/>
      </rPr>
      <t xml:space="preserve">- </t>
    </r>
    <r>
      <rPr>
        <sz val="11"/>
        <rFont val="WenQuanYi Zen Hei"/>
        <family val="2"/>
      </rPr>
      <t xml:space="preserve">各</t>
    </r>
    <r>
      <rPr>
        <sz val="11"/>
        <rFont val="Noto Sans JP"/>
        <family val="0"/>
        <charset val="1"/>
      </rPr>
      <t xml:space="preserve">Wave</t>
    </r>
    <r>
      <rPr>
        <sz val="11"/>
        <rFont val="WenQuanYi Zen Hei"/>
        <family val="2"/>
      </rPr>
      <t xml:space="preserve">は直前の移行判定に通過した場合だけ実施するため、問題があればその段階で止めることができる（スライド</t>
    </r>
    <r>
      <rPr>
        <sz val="11"/>
        <rFont val="Noto Sans JP"/>
        <family val="0"/>
        <charset val="1"/>
      </rPr>
      <t xml:space="preserve">7</t>
    </r>
    <r>
      <rPr>
        <sz val="11"/>
        <rFont val="WenQuanYi Zen Hei"/>
        <family val="2"/>
      </rPr>
      <t xml:space="preserve">）。
なお、段階移行には並行稼働費として</t>
    </r>
    <r>
      <rPr>
        <sz val="11"/>
        <rFont val="Noto Sans JP"/>
        <family val="0"/>
        <charset val="1"/>
      </rPr>
      <t xml:space="preserve">90</t>
    </r>
    <r>
      <rPr>
        <sz val="11"/>
        <rFont val="WenQuanYi Zen Hei"/>
        <family val="2"/>
      </rPr>
      <t xml:space="preserve">万円（</t>
    </r>
    <r>
      <rPr>
        <sz val="11"/>
        <rFont val="Noto Sans JP"/>
        <family val="0"/>
        <charset val="1"/>
      </rPr>
      <t xml:space="preserve">30</t>
    </r>
    <r>
      <rPr>
        <sz val="11"/>
        <rFont val="WenQuanYi Zen Hei"/>
        <family val="2"/>
      </rPr>
      <t xml:space="preserve">万円／月</t>
    </r>
    <r>
      <rPr>
        <sz val="11"/>
        <rFont val="Noto Sans JP"/>
        <family val="0"/>
        <charset val="1"/>
      </rPr>
      <t xml:space="preserve">×3</t>
    </r>
    <r>
      <rPr>
        <sz val="11"/>
        <rFont val="WenQuanYi Zen Hei"/>
        <family val="2"/>
      </rPr>
      <t xml:space="preserve">か月）が別途かかります（スライド</t>
    </r>
    <r>
      <rPr>
        <sz val="11"/>
        <rFont val="Noto Sans JP"/>
        <family val="0"/>
        <charset val="1"/>
      </rPr>
      <t xml:space="preserve">5</t>
    </r>
    <r>
      <rPr>
        <sz val="11"/>
        <rFont val="WenQuanYi Zen Hei"/>
        <family val="2"/>
      </rPr>
      <t xml:space="preserve">）。</t>
    </r>
  </si>
  <si>
    <t xml:space="preserve">/tmp/out/05-Q07.txt</t>
  </si>
  <si>
    <r>
      <rPr>
        <sz val="11"/>
        <rFont val="Noto Sans JP"/>
        <family val="0"/>
        <charset val="1"/>
      </rPr>
      <t xml:space="preserve">30</t>
    </r>
    <r>
      <rPr>
        <sz val="11"/>
        <rFont val="WenQuanYi Zen Hei"/>
        <family val="2"/>
      </rPr>
      <t xml:space="preserve">万円／月</t>
    </r>
    <r>
      <rPr>
        <sz val="11"/>
        <rFont val="Noto Sans JP"/>
        <family val="0"/>
        <charset val="1"/>
      </rPr>
      <t xml:space="preserve">×3</t>
    </r>
    <r>
      <rPr>
        <sz val="11"/>
        <rFont val="WenQuanYi Zen Hei"/>
        <family val="2"/>
      </rPr>
      <t xml:space="preserve">か月＝</t>
    </r>
    <r>
      <rPr>
        <sz val="11"/>
        <rFont val="Noto Sans JP"/>
        <family val="0"/>
        <charset val="1"/>
      </rPr>
      <t xml:space="preserve">90</t>
    </r>
    <r>
      <rPr>
        <sz val="11"/>
        <rFont val="WenQuanYi Zen Hei"/>
        <family val="2"/>
      </rPr>
      <t xml:space="preserve">万円。</t>
    </r>
  </si>
  <si>
    <r>
      <rPr>
        <sz val="11"/>
        <rFont val="WenQuanYi Zen Hei"/>
        <family val="2"/>
      </rPr>
      <t xml:space="preserve">段階移行の並行稼働費：</t>
    </r>
    <r>
      <rPr>
        <sz val="11"/>
        <rFont val="Noto Sans JP"/>
        <family val="0"/>
        <charset val="1"/>
      </rPr>
      <t xml:space="preserve">90</t>
    </r>
    <r>
      <rPr>
        <sz val="11"/>
        <rFont val="WenQuanYi Zen Hei"/>
        <family val="2"/>
      </rPr>
      <t xml:space="preserve">万円
計算：</t>
    </r>
    <r>
      <rPr>
        <sz val="11"/>
        <rFont val="Noto Sans JP"/>
        <family val="0"/>
        <charset val="1"/>
      </rPr>
      <t xml:space="preserve">30</t>
    </r>
    <r>
      <rPr>
        <sz val="11"/>
        <rFont val="WenQuanYi Zen Hei"/>
        <family val="2"/>
      </rPr>
      <t xml:space="preserve">万円／月 </t>
    </r>
    <r>
      <rPr>
        <sz val="11"/>
        <rFont val="Noto Sans JP"/>
        <family val="0"/>
        <charset val="1"/>
      </rPr>
      <t xml:space="preserve">× 3</t>
    </r>
    <r>
      <rPr>
        <sz val="11"/>
        <rFont val="WenQuanYi Zen Hei"/>
        <family val="2"/>
      </rPr>
      <t xml:space="preserve">か月 </t>
    </r>
    <r>
      <rPr>
        <sz val="11"/>
        <rFont val="Noto Sans JP"/>
        <family val="0"/>
        <charset val="1"/>
      </rPr>
      <t xml:space="preserve">= 90</t>
    </r>
    <r>
      <rPr>
        <sz val="11"/>
        <rFont val="WenQuanYi Zen Hei"/>
        <family val="2"/>
      </rPr>
      <t xml:space="preserve">万円
根拠：スライド</t>
    </r>
    <r>
      <rPr>
        <sz val="11"/>
        <rFont val="Noto Sans JP"/>
        <family val="0"/>
        <charset val="1"/>
      </rPr>
      <t xml:space="preserve">5</t>
    </r>
    <r>
      <rPr>
        <sz val="11"/>
        <rFont val="WenQuanYi Zen Hei"/>
        <family val="2"/>
      </rPr>
      <t xml:space="preserve">の注記に「段階移行の並行稼働費</t>
    </r>
    <r>
      <rPr>
        <sz val="11"/>
        <rFont val="Noto Sans JP"/>
        <family val="0"/>
        <charset val="1"/>
      </rPr>
      <t xml:space="preserve">90</t>
    </r>
    <r>
      <rPr>
        <sz val="11"/>
        <rFont val="WenQuanYi Zen Hei"/>
        <family val="2"/>
      </rPr>
      <t xml:space="preserve">万円＝</t>
    </r>
    <r>
      <rPr>
        <sz val="11"/>
        <rFont val="Noto Sans JP"/>
        <family val="0"/>
        <charset val="1"/>
      </rPr>
      <t xml:space="preserve">30</t>
    </r>
    <r>
      <rPr>
        <sz val="11"/>
        <rFont val="WenQuanYi Zen Hei"/>
        <family val="2"/>
      </rPr>
      <t xml:space="preserve">万円／月</t>
    </r>
    <r>
      <rPr>
        <sz val="11"/>
        <rFont val="Noto Sans JP"/>
        <family val="0"/>
        <charset val="1"/>
      </rPr>
      <t xml:space="preserve">×3</t>
    </r>
    <r>
      <rPr>
        <sz val="11"/>
        <rFont val="WenQuanYi Zen Hei"/>
        <family val="2"/>
      </rPr>
      <t xml:space="preserve">か月。定常運用費とは別枠。」とあり、スライド</t>
    </r>
    <r>
      <rPr>
        <sz val="11"/>
        <rFont val="Noto Sans JP"/>
        <family val="0"/>
        <charset val="1"/>
      </rPr>
      <t xml:space="preserve">7</t>
    </r>
    <r>
      <rPr>
        <sz val="11"/>
        <rFont val="WenQuanYi Zen Hei"/>
        <family val="2"/>
      </rPr>
      <t xml:space="preserve">の注記で並行稼働期間は「</t>
    </r>
    <r>
      <rPr>
        <sz val="11"/>
        <rFont val="Noto Sans JP"/>
        <family val="0"/>
        <charset val="1"/>
      </rPr>
      <t xml:space="preserve">2027</t>
    </r>
    <r>
      <rPr>
        <sz val="11"/>
        <rFont val="WenQuanYi Zen Hei"/>
        <family val="2"/>
      </rPr>
      <t xml:space="preserve">年</t>
    </r>
    <r>
      <rPr>
        <sz val="11"/>
        <rFont val="Noto Sans JP"/>
        <family val="0"/>
        <charset val="1"/>
      </rPr>
      <t xml:space="preserve">1</t>
    </r>
    <r>
      <rPr>
        <sz val="11"/>
        <rFont val="WenQuanYi Zen Hei"/>
        <family val="2"/>
      </rPr>
      <t xml:space="preserve">～</t>
    </r>
    <r>
      <rPr>
        <sz val="11"/>
        <rFont val="Noto Sans JP"/>
        <family val="0"/>
        <charset val="1"/>
      </rPr>
      <t xml:space="preserve">3</t>
    </r>
    <r>
      <rPr>
        <sz val="11"/>
        <rFont val="WenQuanYi Zen Hei"/>
        <family val="2"/>
      </rPr>
      <t xml:space="preserve">月の</t>
    </r>
    <r>
      <rPr>
        <sz val="11"/>
        <rFont val="Noto Sans JP"/>
        <family val="0"/>
        <charset val="1"/>
      </rPr>
      <t xml:space="preserve">3</t>
    </r>
    <r>
      <rPr>
        <sz val="11"/>
        <rFont val="WenQuanYi Zen Hei"/>
        <family val="2"/>
      </rPr>
      <t xml:space="preserve">か月」とされています。この</t>
    </r>
    <r>
      <rPr>
        <sz val="11"/>
        <rFont val="Noto Sans JP"/>
        <family val="0"/>
        <charset val="1"/>
      </rPr>
      <t xml:space="preserve">90</t>
    </r>
    <r>
      <rPr>
        <sz val="11"/>
        <rFont val="WenQuanYi Zen Hei"/>
        <family val="2"/>
      </rPr>
      <t xml:space="preserve">万円は初期費用</t>
    </r>
    <r>
      <rPr>
        <sz val="11"/>
        <rFont val="Noto Sans JP"/>
        <family val="0"/>
        <charset val="1"/>
      </rPr>
      <t xml:space="preserve">900</t>
    </r>
    <r>
      <rPr>
        <sz val="11"/>
        <rFont val="WenQuanYi Zen Hei"/>
        <family val="2"/>
      </rPr>
      <t xml:space="preserve">万円と合わせて申請総額</t>
    </r>
    <r>
      <rPr>
        <sz val="11"/>
        <rFont val="Noto Sans JP"/>
        <family val="0"/>
        <charset val="1"/>
      </rPr>
      <t xml:space="preserve">990</t>
    </r>
    <r>
      <rPr>
        <sz val="11"/>
        <rFont val="WenQuanYi Zen Hei"/>
        <family val="2"/>
      </rPr>
      <t xml:space="preserve">万円に含まれます（スライド</t>
    </r>
    <r>
      <rPr>
        <sz val="11"/>
        <rFont val="Noto Sans JP"/>
        <family val="0"/>
        <charset val="1"/>
      </rPr>
      <t xml:space="preserve">2</t>
    </r>
    <r>
      <rPr>
        <sz val="11"/>
        <rFont val="WenQuanYi Zen Hei"/>
        <family val="2"/>
      </rPr>
      <t xml:space="preserve">、スライド</t>
    </r>
    <r>
      <rPr>
        <sz val="11"/>
        <rFont val="Noto Sans JP"/>
        <family val="0"/>
        <charset val="1"/>
      </rPr>
      <t xml:space="preserve">10</t>
    </r>
    <r>
      <rPr>
        <sz val="11"/>
        <rFont val="WenQuanYi Zen Hei"/>
        <family val="2"/>
      </rPr>
      <t xml:space="preserve">）。
（注：旧環境の撤去は</t>
    </r>
    <r>
      <rPr>
        <sz val="11"/>
        <rFont val="Noto Sans JP"/>
        <family val="0"/>
        <charset val="1"/>
      </rPr>
      <t xml:space="preserve">4</t>
    </r>
    <r>
      <rPr>
        <sz val="11"/>
        <rFont val="WenQuanYi Zen Hei"/>
        <family val="2"/>
      </rPr>
      <t xml:space="preserve">月末までですが、並行稼働期間には含まれていません。撤去費は初期費用に含まれます（スライド</t>
    </r>
    <r>
      <rPr>
        <sz val="11"/>
        <rFont val="Noto Sans JP"/>
        <family val="0"/>
        <charset val="1"/>
      </rPr>
      <t xml:space="preserve">10</t>
    </r>
    <r>
      <rPr>
        <sz val="11"/>
        <rFont val="WenQuanYi Zen Hei"/>
        <family val="2"/>
      </rPr>
      <t xml:space="preserve">注記）。）</t>
    </r>
  </si>
  <si>
    <t xml:space="preserve">/tmp/out/05-Q08.txt</t>
  </si>
  <si>
    <r>
      <rPr>
        <sz val="11"/>
        <rFont val="Noto Sans JP"/>
        <family val="0"/>
        <charset val="1"/>
      </rPr>
      <t xml:space="preserve">(900</t>
    </r>
    <r>
      <rPr>
        <sz val="11"/>
        <rFont val="WenQuanYi Zen Hei"/>
        <family val="2"/>
      </rPr>
      <t xml:space="preserve">＋</t>
    </r>
    <r>
      <rPr>
        <sz val="11"/>
        <rFont val="Noto Sans JP"/>
        <family val="0"/>
        <charset val="1"/>
      </rPr>
      <t xml:space="preserve">90)</t>
    </r>
    <r>
      <rPr>
        <sz val="11"/>
        <rFont val="WenQuanYi Zen Hei"/>
        <family val="2"/>
      </rPr>
      <t xml:space="preserve">－</t>
    </r>
    <r>
      <rPr>
        <sz val="11"/>
        <rFont val="Noto Sans JP"/>
        <family val="0"/>
        <charset val="1"/>
      </rPr>
      <t xml:space="preserve">(800</t>
    </r>
    <r>
      <rPr>
        <sz val="11"/>
        <rFont val="WenQuanYi Zen Hei"/>
        <family val="2"/>
      </rPr>
      <t xml:space="preserve">＋</t>
    </r>
    <r>
      <rPr>
        <sz val="11"/>
        <rFont val="Noto Sans JP"/>
        <family val="0"/>
        <charset val="1"/>
      </rPr>
      <t xml:space="preserve">0)</t>
    </r>
    <r>
      <rPr>
        <sz val="11"/>
        <rFont val="WenQuanYi Zen Hei"/>
        <family val="2"/>
      </rPr>
      <t xml:space="preserve">＝</t>
    </r>
    <r>
      <rPr>
        <sz val="11"/>
        <rFont val="Noto Sans JP"/>
        <family val="0"/>
        <charset val="1"/>
      </rPr>
      <t xml:space="preserve">190</t>
    </r>
    <r>
      <rPr>
        <sz val="11"/>
        <rFont val="WenQuanYi Zen Hei"/>
        <family val="2"/>
      </rPr>
      <t xml:space="preserve">万円。</t>
    </r>
  </si>
  <si>
    <r>
      <rPr>
        <sz val="11"/>
        <rFont val="Noto Sans JP"/>
        <family val="0"/>
        <charset val="1"/>
      </rPr>
      <t xml:space="preserve">190</t>
    </r>
    <r>
      <rPr>
        <sz val="11"/>
        <rFont val="WenQuanYi Zen Hei"/>
        <family val="2"/>
      </rPr>
      <t xml:space="preserve">万円です（段階移行のほうが</t>
    </r>
    <r>
      <rPr>
        <sz val="11"/>
        <rFont val="Noto Sans JP"/>
        <family val="0"/>
        <charset val="1"/>
      </rPr>
      <t xml:space="preserve">190</t>
    </r>
    <r>
      <rPr>
        <sz val="11"/>
        <rFont val="WenQuanYi Zen Hei"/>
        <family val="2"/>
      </rPr>
      <t xml:space="preserve">万円多い）。
資料のスライド</t>
    </r>
    <r>
      <rPr>
        <sz val="11"/>
        <rFont val="Noto Sans JP"/>
        <family val="0"/>
        <charset val="1"/>
      </rPr>
      <t xml:space="preserve">5</t>
    </r>
    <r>
      <rPr>
        <sz val="11"/>
        <rFont val="WenQuanYi Zen Hei"/>
        <family val="2"/>
      </rPr>
      <t xml:space="preserve">「移行方式の比較」の表によると、次のとおりです。
</t>
    </r>
    <r>
      <rPr>
        <sz val="11"/>
        <rFont val="Noto Sans JP"/>
        <family val="0"/>
        <charset val="1"/>
      </rPr>
      <t xml:space="preserve">- </t>
    </r>
    <r>
      <rPr>
        <sz val="11"/>
        <rFont val="WenQuanYi Zen Hei"/>
        <family val="2"/>
      </rPr>
      <t xml:space="preserve">一括移行：初期費用</t>
    </r>
    <r>
      <rPr>
        <sz val="11"/>
        <rFont val="Noto Sans JP"/>
        <family val="0"/>
        <charset val="1"/>
      </rPr>
      <t xml:space="preserve">800</t>
    </r>
    <r>
      <rPr>
        <sz val="11"/>
        <rFont val="WenQuanYi Zen Hei"/>
        <family val="2"/>
      </rPr>
      <t xml:space="preserve">万円＋並行稼働費</t>
    </r>
    <r>
      <rPr>
        <sz val="11"/>
        <rFont val="Noto Sans JP"/>
        <family val="0"/>
        <charset val="1"/>
      </rPr>
      <t xml:space="preserve">0</t>
    </r>
    <r>
      <rPr>
        <sz val="11"/>
        <rFont val="WenQuanYi Zen Hei"/>
        <family val="2"/>
      </rPr>
      <t xml:space="preserve">万円＝</t>
    </r>
    <r>
      <rPr>
        <sz val="11"/>
        <rFont val="Noto Sans JP"/>
        <family val="0"/>
        <charset val="1"/>
      </rPr>
      <t xml:space="preserve">800</t>
    </r>
    <r>
      <rPr>
        <sz val="11"/>
        <rFont val="WenQuanYi Zen Hei"/>
        <family val="2"/>
      </rPr>
      <t xml:space="preserve">万円
</t>
    </r>
    <r>
      <rPr>
        <sz val="11"/>
        <rFont val="Noto Sans JP"/>
        <family val="0"/>
        <charset val="1"/>
      </rPr>
      <t xml:space="preserve">- </t>
    </r>
    <r>
      <rPr>
        <sz val="11"/>
        <rFont val="WenQuanYi Zen Hei"/>
        <family val="2"/>
      </rPr>
      <t xml:space="preserve">段階移行：初期費用</t>
    </r>
    <r>
      <rPr>
        <sz val="11"/>
        <rFont val="Noto Sans JP"/>
        <family val="0"/>
        <charset val="1"/>
      </rPr>
      <t xml:space="preserve">900</t>
    </r>
    <r>
      <rPr>
        <sz val="11"/>
        <rFont val="WenQuanYi Zen Hei"/>
        <family val="2"/>
      </rPr>
      <t xml:space="preserve">万円＋並行稼働費</t>
    </r>
    <r>
      <rPr>
        <sz val="11"/>
        <rFont val="Noto Sans JP"/>
        <family val="0"/>
        <charset val="1"/>
      </rPr>
      <t xml:space="preserve">90</t>
    </r>
    <r>
      <rPr>
        <sz val="11"/>
        <rFont val="WenQuanYi Zen Hei"/>
        <family val="2"/>
      </rPr>
      <t xml:space="preserve">万円＝</t>
    </r>
    <r>
      <rPr>
        <sz val="11"/>
        <rFont val="Noto Sans JP"/>
        <family val="0"/>
        <charset val="1"/>
      </rPr>
      <t xml:space="preserve">990</t>
    </r>
    <r>
      <rPr>
        <sz val="11"/>
        <rFont val="WenQuanYi Zen Hei"/>
        <family val="2"/>
      </rPr>
      <t xml:space="preserve">万円
差額は</t>
    </r>
    <r>
      <rPr>
        <sz val="11"/>
        <rFont val="Noto Sans JP"/>
        <family val="0"/>
        <charset val="1"/>
      </rPr>
      <t xml:space="preserve">990</t>
    </r>
    <r>
      <rPr>
        <sz val="11"/>
        <rFont val="WenQuanYi Zen Hei"/>
        <family val="2"/>
      </rPr>
      <t xml:space="preserve">万円－</t>
    </r>
    <r>
      <rPr>
        <sz val="11"/>
        <rFont val="Noto Sans JP"/>
        <family val="0"/>
        <charset val="1"/>
      </rPr>
      <t xml:space="preserve">800</t>
    </r>
    <r>
      <rPr>
        <sz val="11"/>
        <rFont val="WenQuanYi Zen Hei"/>
        <family val="2"/>
      </rPr>
      <t xml:space="preserve">万円＝</t>
    </r>
    <r>
      <rPr>
        <sz val="11"/>
        <rFont val="Noto Sans JP"/>
        <family val="0"/>
        <charset val="1"/>
      </rPr>
      <t xml:space="preserve">190</t>
    </r>
    <r>
      <rPr>
        <sz val="11"/>
        <rFont val="WenQuanYi Zen Hei"/>
        <family val="2"/>
      </rPr>
      <t xml:space="preserve">万円です。段階移行の</t>
    </r>
    <r>
      <rPr>
        <sz val="11"/>
        <rFont val="Noto Sans JP"/>
        <family val="0"/>
        <charset val="1"/>
      </rPr>
      <t xml:space="preserve">990</t>
    </r>
    <r>
      <rPr>
        <sz val="11"/>
        <rFont val="WenQuanYi Zen Hei"/>
        <family val="2"/>
      </rPr>
      <t xml:space="preserve">万円は、スライド</t>
    </r>
    <r>
      <rPr>
        <sz val="11"/>
        <rFont val="Noto Sans JP"/>
        <family val="0"/>
        <charset val="1"/>
      </rPr>
      <t xml:space="preserve">10</t>
    </r>
    <r>
      <rPr>
        <sz val="11"/>
        <rFont val="WenQuanYi Zen Hei"/>
        <family val="2"/>
      </rPr>
      <t xml:space="preserve">の申請総額</t>
    </r>
    <r>
      <rPr>
        <sz val="11"/>
        <rFont val="Noto Sans JP"/>
        <family val="0"/>
        <charset val="1"/>
      </rPr>
      <t xml:space="preserve">990</t>
    </r>
    <r>
      <rPr>
        <sz val="11"/>
        <rFont val="WenQuanYi Zen Hei"/>
        <family val="2"/>
      </rPr>
      <t xml:space="preserve">万円と同じ額です。</t>
    </r>
  </si>
  <si>
    <t xml:space="preserve">/tmp/out/05-Q09.txt</t>
  </si>
  <si>
    <r>
      <rPr>
        <sz val="11"/>
        <rFont val="Noto Sans JP"/>
        <family val="0"/>
        <charset val="1"/>
      </rPr>
      <t xml:space="preserve">840</t>
    </r>
    <r>
      <rPr>
        <sz val="11"/>
        <rFont val="WenQuanYi Zen Hei"/>
        <family val="2"/>
      </rPr>
      <t xml:space="preserve">万円／年、削減額</t>
    </r>
    <r>
      <rPr>
        <sz val="11"/>
        <rFont val="Noto Sans JP"/>
        <family val="0"/>
        <charset val="1"/>
      </rPr>
      <t xml:space="preserve">360</t>
    </r>
    <r>
      <rPr>
        <sz val="11"/>
        <rFont val="WenQuanYi Zen Hei"/>
        <family val="2"/>
      </rPr>
      <t xml:space="preserve">万円／年。</t>
    </r>
  </si>
  <si>
    <r>
      <rPr>
        <sz val="11"/>
        <rFont val="WenQuanYi Zen Hei"/>
        <family val="2"/>
      </rPr>
      <t xml:space="preserve">移行後の年間運用費は</t>
    </r>
    <r>
      <rPr>
        <sz val="11"/>
        <rFont val="Noto Sans JP"/>
        <family val="0"/>
        <charset val="1"/>
      </rPr>
      <t xml:space="preserve">840</t>
    </r>
    <r>
      <rPr>
        <sz val="11"/>
        <rFont val="WenQuanYi Zen Hei"/>
        <family val="2"/>
      </rPr>
      <t xml:space="preserve">万円（</t>
    </r>
    <r>
      <rPr>
        <sz val="11"/>
        <rFont val="Noto Sans JP"/>
        <family val="0"/>
        <charset val="1"/>
      </rPr>
      <t xml:space="preserve">70</t>
    </r>
    <r>
      <rPr>
        <sz val="11"/>
        <rFont val="WenQuanYi Zen Hei"/>
        <family val="2"/>
      </rPr>
      <t xml:space="preserve">万円／月）、年間削減額は</t>
    </r>
    <r>
      <rPr>
        <sz val="11"/>
        <rFont val="Noto Sans JP"/>
        <family val="0"/>
        <charset val="1"/>
      </rPr>
      <t xml:space="preserve">360</t>
    </r>
    <r>
      <rPr>
        <sz val="11"/>
        <rFont val="WenQuanYi Zen Hei"/>
        <family val="2"/>
      </rPr>
      <t xml:space="preserve">万円（現行</t>
    </r>
    <r>
      <rPr>
        <sz val="11"/>
        <rFont val="Noto Sans JP"/>
        <family val="0"/>
        <charset val="1"/>
      </rPr>
      <t xml:space="preserve">1,200</t>
    </r>
    <r>
      <rPr>
        <sz val="11"/>
        <rFont val="WenQuanYi Zen Hei"/>
        <family val="2"/>
      </rPr>
      <t xml:space="preserve">万円→移行後</t>
    </r>
    <r>
      <rPr>
        <sz val="11"/>
        <rFont val="Noto Sans JP"/>
        <family val="0"/>
        <charset val="1"/>
      </rPr>
      <t xml:space="preserve">840</t>
    </r>
    <r>
      <rPr>
        <sz val="11"/>
        <rFont val="WenQuanYi Zen Hei"/>
        <family val="2"/>
      </rPr>
      <t xml:space="preserve">万円、削減率</t>
    </r>
    <r>
      <rPr>
        <sz val="11"/>
        <rFont val="Noto Sans JP"/>
        <family val="0"/>
        <charset val="1"/>
      </rPr>
      <t xml:space="preserve">30%</t>
    </r>
    <r>
      <rPr>
        <sz val="11"/>
        <rFont val="WenQuanYi Zen Hei"/>
        <family val="2"/>
      </rPr>
      <t xml:space="preserve">）です。いずれも対象</t>
    </r>
    <r>
      <rPr>
        <sz val="11"/>
        <rFont val="Noto Sans JP"/>
        <family val="0"/>
        <charset val="1"/>
      </rPr>
      <t xml:space="preserve">2</t>
    </r>
    <r>
      <rPr>
        <sz val="11"/>
        <rFont val="WenQuanYi Zen Hei"/>
        <family val="2"/>
      </rPr>
      <t xml:space="preserve">システム（社内ポータル・分析基盤）のみ、並行稼働終了後の定常運用費（税抜概算）で、並行稼働費</t>
    </r>
    <r>
      <rPr>
        <sz val="11"/>
        <rFont val="Noto Sans JP"/>
        <family val="0"/>
        <charset val="1"/>
      </rPr>
      <t xml:space="preserve">90</t>
    </r>
    <r>
      <rPr>
        <sz val="11"/>
        <rFont val="WenQuanYi Zen Hei"/>
        <family val="2"/>
      </rPr>
      <t xml:space="preserve">万円は別枠です。（スライド</t>
    </r>
    <r>
      <rPr>
        <sz val="11"/>
        <rFont val="Noto Sans JP"/>
        <family val="0"/>
        <charset val="1"/>
      </rPr>
      <t xml:space="preserve">6</t>
    </r>
    <r>
      <rPr>
        <sz val="11"/>
        <rFont val="WenQuanYi Zen Hei"/>
        <family val="2"/>
      </rPr>
      <t xml:space="preserve">）</t>
    </r>
  </si>
  <si>
    <t xml:space="preserve">/tmp/out/05-Q10.txt</t>
  </si>
  <si>
    <r>
      <rPr>
        <sz val="11"/>
        <rFont val="Noto Sans JP"/>
        <family val="0"/>
        <charset val="1"/>
      </rPr>
      <t xml:space="preserve">(1,200</t>
    </r>
    <r>
      <rPr>
        <sz val="11"/>
        <rFont val="WenQuanYi Zen Hei"/>
        <family val="2"/>
      </rPr>
      <t xml:space="preserve">－</t>
    </r>
    <r>
      <rPr>
        <sz val="11"/>
        <rFont val="Noto Sans JP"/>
        <family val="0"/>
        <charset val="1"/>
      </rPr>
      <t xml:space="preserve">840)÷1,200×100</t>
    </r>
    <r>
      <rPr>
        <sz val="11"/>
        <rFont val="WenQuanYi Zen Hei"/>
        <family val="2"/>
      </rPr>
      <t xml:space="preserve">＝</t>
    </r>
    <r>
      <rPr>
        <sz val="11"/>
        <rFont val="Noto Sans JP"/>
        <family val="0"/>
        <charset val="1"/>
      </rPr>
      <t xml:space="preserve">30%</t>
    </r>
    <r>
      <rPr>
        <sz val="11"/>
        <rFont val="WenQuanYi Zen Hei"/>
        <family val="2"/>
      </rPr>
      <t xml:space="preserve">。</t>
    </r>
  </si>
  <si>
    <r>
      <rPr>
        <sz val="11"/>
        <rFont val="WenQuanYi Zen Hei"/>
        <family val="2"/>
      </rPr>
      <t xml:space="preserve">年間運用費の削減率は</t>
    </r>
    <r>
      <rPr>
        <sz val="11"/>
        <rFont val="Noto Sans JP"/>
        <family val="0"/>
        <charset val="1"/>
      </rPr>
      <t xml:space="preserve">30%</t>
    </r>
    <r>
      <rPr>
        <sz val="11"/>
        <rFont val="WenQuanYi Zen Hei"/>
        <family val="2"/>
      </rPr>
      <t xml:space="preserve">です。
計算：</t>
    </r>
    <r>
      <rPr>
        <sz val="11"/>
        <rFont val="Noto Sans JP"/>
        <family val="0"/>
        <charset val="1"/>
      </rPr>
      <t xml:space="preserve">(</t>
    </r>
    <r>
      <rPr>
        <sz val="11"/>
        <rFont val="WenQuanYi Zen Hei"/>
        <family val="2"/>
      </rPr>
      <t xml:space="preserve">現行</t>
    </r>
    <r>
      <rPr>
        <sz val="11"/>
        <rFont val="Noto Sans JP"/>
        <family val="0"/>
        <charset val="1"/>
      </rPr>
      <t xml:space="preserve">1,200</t>
    </r>
    <r>
      <rPr>
        <sz val="11"/>
        <rFont val="WenQuanYi Zen Hei"/>
        <family val="2"/>
      </rPr>
      <t xml:space="preserve">万円／年 − 移行後</t>
    </r>
    <r>
      <rPr>
        <sz val="11"/>
        <rFont val="Noto Sans JP"/>
        <family val="0"/>
        <charset val="1"/>
      </rPr>
      <t xml:space="preserve">840</t>
    </r>
    <r>
      <rPr>
        <sz val="11"/>
        <rFont val="WenQuanYi Zen Hei"/>
        <family val="2"/>
      </rPr>
      <t xml:space="preserve">万円／年</t>
    </r>
    <r>
      <rPr>
        <sz val="11"/>
        <rFont val="Noto Sans JP"/>
        <family val="0"/>
        <charset val="1"/>
      </rPr>
      <t xml:space="preserve">) ÷ </t>
    </r>
    <r>
      <rPr>
        <sz val="11"/>
        <rFont val="WenQuanYi Zen Hei"/>
        <family val="2"/>
      </rPr>
      <t xml:space="preserve">現行</t>
    </r>
    <r>
      <rPr>
        <sz val="11"/>
        <rFont val="Noto Sans JP"/>
        <family val="0"/>
        <charset val="1"/>
      </rPr>
      <t xml:space="preserve">1,200</t>
    </r>
    <r>
      <rPr>
        <sz val="11"/>
        <rFont val="WenQuanYi Zen Hei"/>
        <family val="2"/>
      </rPr>
      <t xml:space="preserve">万円／年 </t>
    </r>
    <r>
      <rPr>
        <sz val="11"/>
        <rFont val="Noto Sans JP"/>
        <family val="0"/>
        <charset val="1"/>
      </rPr>
      <t xml:space="preserve">= 360</t>
    </r>
    <r>
      <rPr>
        <sz val="11"/>
        <rFont val="WenQuanYi Zen Hei"/>
        <family val="2"/>
      </rPr>
      <t xml:space="preserve">万円 </t>
    </r>
    <r>
      <rPr>
        <sz val="11"/>
        <rFont val="Noto Sans JP"/>
        <family val="0"/>
        <charset val="1"/>
      </rPr>
      <t xml:space="preserve">÷ 1,200</t>
    </r>
    <r>
      <rPr>
        <sz val="11"/>
        <rFont val="WenQuanYi Zen Hei"/>
        <family val="2"/>
      </rPr>
      <t xml:space="preserve">万円 </t>
    </r>
    <r>
      <rPr>
        <sz val="11"/>
        <rFont val="Noto Sans JP"/>
        <family val="0"/>
        <charset val="1"/>
      </rPr>
      <t xml:space="preserve">= 30%
</t>
    </r>
    <r>
      <rPr>
        <sz val="11"/>
        <rFont val="WenQuanYi Zen Hei"/>
        <family val="2"/>
      </rPr>
      <t xml:space="preserve">（月額換算でも、現行</t>
    </r>
    <r>
      <rPr>
        <sz val="11"/>
        <rFont val="Noto Sans JP"/>
        <family val="0"/>
        <charset val="1"/>
      </rPr>
      <t xml:space="preserve">100</t>
    </r>
    <r>
      <rPr>
        <sz val="11"/>
        <rFont val="WenQuanYi Zen Hei"/>
        <family val="2"/>
      </rPr>
      <t xml:space="preserve">万円／月→移行後</t>
    </r>
    <r>
      <rPr>
        <sz val="11"/>
        <rFont val="Noto Sans JP"/>
        <family val="0"/>
        <charset val="1"/>
      </rPr>
      <t xml:space="preserve">70</t>
    </r>
    <r>
      <rPr>
        <sz val="11"/>
        <rFont val="WenQuanYi Zen Hei"/>
        <family val="2"/>
      </rPr>
      <t xml:space="preserve">万円／月で</t>
    </r>
    <r>
      <rPr>
        <sz val="11"/>
        <rFont val="Noto Sans JP"/>
        <family val="0"/>
        <charset val="1"/>
      </rPr>
      <t xml:space="preserve">30</t>
    </r>
    <r>
      <rPr>
        <sz val="11"/>
        <rFont val="WenQuanYi Zen Hei"/>
        <family val="2"/>
      </rPr>
      <t xml:space="preserve">万円／月削減＝</t>
    </r>
    <r>
      <rPr>
        <sz val="11"/>
        <rFont val="Noto Sans JP"/>
        <family val="0"/>
        <charset val="1"/>
      </rPr>
      <t xml:space="preserve">30%</t>
    </r>
    <r>
      <rPr>
        <sz val="11"/>
        <rFont val="WenQuanYi Zen Hei"/>
        <family val="2"/>
      </rPr>
      <t xml:space="preserve">）
根拠：スライド</t>
    </r>
    <r>
      <rPr>
        <sz val="11"/>
        <rFont val="Noto Sans JP"/>
        <family val="0"/>
        <charset val="1"/>
      </rPr>
      <t xml:space="preserve">6</t>
    </r>
    <r>
      <rPr>
        <sz val="11"/>
        <rFont val="WenQuanYi Zen Hei"/>
        <family val="2"/>
      </rPr>
      <t xml:space="preserve">「定常運用費は年</t>
    </r>
    <r>
      <rPr>
        <sz val="11"/>
        <rFont val="Noto Sans JP"/>
        <family val="0"/>
        <charset val="1"/>
      </rPr>
      <t xml:space="preserve">360</t>
    </r>
    <r>
      <rPr>
        <sz val="11"/>
        <rFont val="WenQuanYi Zen Hei"/>
        <family val="2"/>
      </rPr>
      <t xml:space="preserve">万円削減の想定」のグラフ値（現行</t>
    </r>
    <r>
      <rPr>
        <sz val="11"/>
        <rFont val="Noto Sans JP"/>
        <family val="0"/>
        <charset val="1"/>
      </rPr>
      <t xml:space="preserve">1200</t>
    </r>
    <r>
      <rPr>
        <sz val="11"/>
        <rFont val="WenQuanYi Zen Hei"/>
        <family val="2"/>
      </rPr>
      <t xml:space="preserve">、移行後</t>
    </r>
    <r>
      <rPr>
        <sz val="11"/>
        <rFont val="Noto Sans JP"/>
        <family val="0"/>
        <charset val="1"/>
      </rPr>
      <t xml:space="preserve">840 </t>
    </r>
    <r>
      <rPr>
        <sz val="11"/>
        <rFont val="WenQuanYi Zen Hei"/>
        <family val="2"/>
      </rPr>
      <t xml:space="preserve">万円／年）および補足記載「年間削減率：</t>
    </r>
    <r>
      <rPr>
        <sz val="11"/>
        <rFont val="Noto Sans JP"/>
        <family val="0"/>
        <charset val="1"/>
      </rPr>
      <t xml:space="preserve">30%</t>
    </r>
    <r>
      <rPr>
        <sz val="11"/>
        <rFont val="WenQuanYi Zen Hei"/>
        <family val="2"/>
      </rPr>
      <t xml:space="preserve">」。
前提：並行稼働終了後の定常運用費で、対象</t>
    </r>
    <r>
      <rPr>
        <sz val="11"/>
        <rFont val="Noto Sans JP"/>
        <family val="0"/>
        <charset val="1"/>
      </rPr>
      <t xml:space="preserve">2</t>
    </r>
    <r>
      <rPr>
        <sz val="11"/>
        <rFont val="WenQuanYi Zen Hei"/>
        <family val="2"/>
      </rPr>
      <t xml:space="preserve">システム（社内ポータル・分析基盤）のみ、同じ範囲のインフラ・運用費を含む税抜概算。並行稼働費</t>
    </r>
    <r>
      <rPr>
        <sz val="11"/>
        <rFont val="Noto Sans JP"/>
        <family val="0"/>
        <charset val="1"/>
      </rPr>
      <t xml:space="preserve">90</t>
    </r>
    <r>
      <rPr>
        <sz val="11"/>
        <rFont val="WenQuanYi Zen Hei"/>
        <family val="2"/>
      </rPr>
      <t xml:space="preserve">万円（スライド</t>
    </r>
    <r>
      <rPr>
        <sz val="11"/>
        <rFont val="Noto Sans JP"/>
        <family val="0"/>
        <charset val="1"/>
      </rPr>
      <t xml:space="preserve">5</t>
    </r>
    <r>
      <rPr>
        <sz val="11"/>
        <rFont val="WenQuanYi Zen Hei"/>
        <family val="2"/>
      </rPr>
      <t xml:space="preserve">）は定常運用費とは別枠のため計算に含めない。</t>
    </r>
  </si>
  <si>
    <t xml:space="preserve">/tmp/out/05-Q11.txt</t>
  </si>
  <si>
    <r>
      <rPr>
        <sz val="11"/>
        <rFont val="WenQuanYi Zen Hei"/>
        <family val="2"/>
      </rPr>
      <t xml:space="preserve">判定</t>
    </r>
    <r>
      <rPr>
        <sz val="11"/>
        <rFont val="Noto Sans JP"/>
        <family val="0"/>
        <charset val="1"/>
      </rPr>
      <t xml:space="preserve">2027</t>
    </r>
    <r>
      <rPr>
        <sz val="11"/>
        <rFont val="WenQuanYi Zen Hei"/>
        <family val="2"/>
      </rPr>
      <t xml:space="preserve">年</t>
    </r>
    <r>
      <rPr>
        <sz val="11"/>
        <rFont val="Noto Sans JP"/>
        <family val="0"/>
        <charset val="1"/>
      </rPr>
      <t xml:space="preserve">3</t>
    </r>
    <r>
      <rPr>
        <sz val="11"/>
        <rFont val="WenQuanYi Zen Hei"/>
        <family val="2"/>
      </rPr>
      <t xml:space="preserve">月</t>
    </r>
    <r>
      <rPr>
        <sz val="11"/>
        <rFont val="Noto Sans JP"/>
        <family val="0"/>
        <charset val="1"/>
      </rPr>
      <t xml:space="preserve">5</t>
    </r>
    <r>
      <rPr>
        <sz val="11"/>
        <rFont val="WenQuanYi Zen Hei"/>
        <family val="2"/>
      </rPr>
      <t xml:space="preserve">日、移行</t>
    </r>
    <r>
      <rPr>
        <sz val="11"/>
        <rFont val="Noto Sans JP"/>
        <family val="0"/>
        <charset val="1"/>
      </rPr>
      <t xml:space="preserve">2027</t>
    </r>
    <r>
      <rPr>
        <sz val="11"/>
        <rFont val="WenQuanYi Zen Hei"/>
        <family val="2"/>
      </rPr>
      <t xml:space="preserve">年</t>
    </r>
    <r>
      <rPr>
        <sz val="11"/>
        <rFont val="Noto Sans JP"/>
        <family val="0"/>
        <charset val="1"/>
      </rPr>
      <t xml:space="preserve">3</t>
    </r>
    <r>
      <rPr>
        <sz val="11"/>
        <rFont val="WenQuanYi Zen Hei"/>
        <family val="2"/>
      </rPr>
      <t xml:space="preserve">月</t>
    </r>
    <r>
      <rPr>
        <sz val="11"/>
        <rFont val="Noto Sans JP"/>
        <family val="0"/>
        <charset val="1"/>
      </rPr>
      <t xml:space="preserve">6</t>
    </r>
    <r>
      <rPr>
        <sz val="11"/>
        <rFont val="WenQuanYi Zen Hei"/>
        <family val="2"/>
      </rPr>
      <t xml:space="preserve">日。</t>
    </r>
  </si>
  <si>
    <r>
      <rPr>
        <sz val="11"/>
        <rFont val="Noto Sans JP"/>
        <family val="0"/>
        <charset val="1"/>
      </rPr>
      <t xml:space="preserve">Wave 2</t>
    </r>
    <r>
      <rPr>
        <sz val="11"/>
        <rFont val="WenQuanYi Zen Hei"/>
        <family val="2"/>
      </rPr>
      <t xml:space="preserve">（分析基盤）の判定日は</t>
    </r>
    <r>
      <rPr>
        <sz val="11"/>
        <rFont val="Noto Sans JP"/>
        <family val="0"/>
        <charset val="1"/>
      </rPr>
      <t xml:space="preserve">2027</t>
    </r>
    <r>
      <rPr>
        <sz val="11"/>
        <rFont val="WenQuanYi Zen Hei"/>
        <family val="2"/>
      </rPr>
      <t xml:space="preserve">年</t>
    </r>
    <r>
      <rPr>
        <sz val="11"/>
        <rFont val="Noto Sans JP"/>
        <family val="0"/>
        <charset val="1"/>
      </rPr>
      <t xml:space="preserve">3</t>
    </r>
    <r>
      <rPr>
        <sz val="11"/>
        <rFont val="WenQuanYi Zen Hei"/>
        <family val="2"/>
      </rPr>
      <t xml:space="preserve">月</t>
    </r>
    <r>
      <rPr>
        <sz val="11"/>
        <rFont val="Noto Sans JP"/>
        <family val="0"/>
        <charset val="1"/>
      </rPr>
      <t xml:space="preserve">5</t>
    </r>
    <r>
      <rPr>
        <sz val="11"/>
        <rFont val="WenQuanYi Zen Hei"/>
        <family val="2"/>
      </rPr>
      <t xml:space="preserve">日、移行日は</t>
    </r>
    <r>
      <rPr>
        <sz val="11"/>
        <rFont val="Noto Sans JP"/>
        <family val="0"/>
        <charset val="1"/>
      </rPr>
      <t xml:space="preserve">2027</t>
    </r>
    <r>
      <rPr>
        <sz val="11"/>
        <rFont val="WenQuanYi Zen Hei"/>
        <family val="2"/>
      </rPr>
      <t xml:space="preserve">年</t>
    </r>
    <r>
      <rPr>
        <sz val="11"/>
        <rFont val="Noto Sans JP"/>
        <family val="0"/>
        <charset val="1"/>
      </rPr>
      <t xml:space="preserve">3</t>
    </r>
    <r>
      <rPr>
        <sz val="11"/>
        <rFont val="WenQuanYi Zen Hei"/>
        <family val="2"/>
      </rPr>
      <t xml:space="preserve">月</t>
    </r>
    <r>
      <rPr>
        <sz val="11"/>
        <rFont val="Noto Sans JP"/>
        <family val="0"/>
        <charset val="1"/>
      </rPr>
      <t xml:space="preserve">6</t>
    </r>
    <r>
      <rPr>
        <sz val="11"/>
        <rFont val="WenQuanYi Zen Hei"/>
        <family val="2"/>
      </rPr>
      <t xml:space="preserve">日です。（スライド</t>
    </r>
    <r>
      <rPr>
        <sz val="11"/>
        <rFont val="Noto Sans JP"/>
        <family val="0"/>
        <charset val="1"/>
      </rPr>
      <t xml:space="preserve">7</t>
    </r>
    <r>
      <rPr>
        <sz val="11"/>
        <rFont val="WenQuanYi Zen Hei"/>
        <family val="2"/>
      </rPr>
      <t xml:space="preserve">「工程と移行日」：</t>
    </r>
    <r>
      <rPr>
        <sz val="11"/>
        <rFont val="Noto Sans JP"/>
        <family val="0"/>
        <charset val="1"/>
      </rPr>
      <t xml:space="preserve">2027/3/5</t>
    </r>
    <r>
      <rPr>
        <sz val="11"/>
        <rFont val="WenQuanYi Zen Hei"/>
        <family val="2"/>
      </rPr>
      <t xml:space="preserve">、</t>
    </r>
    <r>
      <rPr>
        <sz val="11"/>
        <rFont val="Noto Sans JP"/>
        <family val="0"/>
        <charset val="1"/>
      </rPr>
      <t xml:space="preserve">3/6 Wave 2</t>
    </r>
    <r>
      <rPr>
        <sz val="11"/>
        <rFont val="WenQuanYi Zen Hei"/>
        <family val="2"/>
      </rPr>
      <t xml:space="preserve">判定、移行。スライド</t>
    </r>
    <r>
      <rPr>
        <sz val="11"/>
        <rFont val="Noto Sans JP"/>
        <family val="0"/>
        <charset val="1"/>
      </rPr>
      <t xml:space="preserve">2</t>
    </r>
    <r>
      <rPr>
        <sz val="11"/>
        <rFont val="WenQuanYi Zen Hei"/>
        <family val="2"/>
      </rPr>
      <t xml:space="preserve">でも</t>
    </r>
    <r>
      <rPr>
        <sz val="11"/>
        <rFont val="Noto Sans JP"/>
        <family val="0"/>
        <charset val="1"/>
      </rPr>
      <t xml:space="preserve">Wave 2</t>
    </r>
    <r>
      <rPr>
        <sz val="11"/>
        <rFont val="WenQuanYi Zen Hei"/>
        <family val="2"/>
      </rPr>
      <t xml:space="preserve">の移行日は</t>
    </r>
    <r>
      <rPr>
        <sz val="11"/>
        <rFont val="Noto Sans JP"/>
        <family val="0"/>
        <charset val="1"/>
      </rPr>
      <t xml:space="preserve">2027</t>
    </r>
    <r>
      <rPr>
        <sz val="11"/>
        <rFont val="WenQuanYi Zen Hei"/>
        <family val="2"/>
      </rPr>
      <t xml:space="preserve">年</t>
    </r>
    <r>
      <rPr>
        <sz val="11"/>
        <rFont val="Noto Sans JP"/>
        <family val="0"/>
        <charset val="1"/>
      </rPr>
      <t xml:space="preserve">3</t>
    </r>
    <r>
      <rPr>
        <sz val="11"/>
        <rFont val="WenQuanYi Zen Hei"/>
        <family val="2"/>
      </rPr>
      <t xml:space="preserve">月</t>
    </r>
    <r>
      <rPr>
        <sz val="11"/>
        <rFont val="Noto Sans JP"/>
        <family val="0"/>
        <charset val="1"/>
      </rPr>
      <t xml:space="preserve">6</t>
    </r>
    <r>
      <rPr>
        <sz val="11"/>
        <rFont val="WenQuanYi Zen Hei"/>
        <family val="2"/>
      </rPr>
      <t xml:space="preserve">日と記載）</t>
    </r>
  </si>
  <si>
    <t xml:space="preserve">/tmp/out/05-Q12.txt</t>
  </si>
  <si>
    <r>
      <rPr>
        <sz val="11"/>
        <rFont val="WenQuanYi Zen Hei"/>
        <family val="2"/>
      </rPr>
      <t xml:space="preserve">社内ポータル、</t>
    </r>
    <r>
      <rPr>
        <sz val="11"/>
        <rFont val="Noto Sans JP"/>
        <family val="0"/>
        <charset val="1"/>
      </rPr>
      <t xml:space="preserve">2027</t>
    </r>
    <r>
      <rPr>
        <sz val="11"/>
        <rFont val="WenQuanYi Zen Hei"/>
        <family val="2"/>
      </rPr>
      <t xml:space="preserve">年</t>
    </r>
    <r>
      <rPr>
        <sz val="11"/>
        <rFont val="Noto Sans JP"/>
        <family val="0"/>
        <charset val="1"/>
      </rPr>
      <t xml:space="preserve">2</t>
    </r>
    <r>
      <rPr>
        <sz val="11"/>
        <rFont val="WenQuanYi Zen Hei"/>
        <family val="2"/>
      </rPr>
      <t xml:space="preserve">月</t>
    </r>
    <r>
      <rPr>
        <sz val="11"/>
        <rFont val="Noto Sans JP"/>
        <family val="0"/>
        <charset val="1"/>
      </rPr>
      <t xml:space="preserve">6</t>
    </r>
    <r>
      <rPr>
        <sz val="11"/>
        <rFont val="WenQuanYi Zen Hei"/>
        <family val="2"/>
      </rPr>
      <t xml:space="preserve">日。</t>
    </r>
  </si>
  <si>
    <t xml:space="preserve">2,7</t>
  </si>
  <si>
    <r>
      <rPr>
        <sz val="11"/>
        <rFont val="WenQuanYi Zen Hei"/>
        <family val="2"/>
      </rPr>
      <t xml:space="preserve">最初に移行するシステムは「社内ポータル」（</t>
    </r>
    <r>
      <rPr>
        <sz val="11"/>
        <rFont val="Noto Sans JP"/>
        <family val="0"/>
        <charset val="1"/>
      </rPr>
      <t xml:space="preserve">Wave 1</t>
    </r>
    <r>
      <rPr>
        <sz val="11"/>
        <rFont val="WenQuanYi Zen Hei"/>
        <family val="2"/>
      </rPr>
      <t xml:space="preserve">）で、移行日は</t>
    </r>
    <r>
      <rPr>
        <sz val="11"/>
        <rFont val="Noto Sans JP"/>
        <family val="0"/>
        <charset val="1"/>
      </rPr>
      <t xml:space="preserve">2027</t>
    </r>
    <r>
      <rPr>
        <sz val="11"/>
        <rFont val="WenQuanYi Zen Hei"/>
        <family val="2"/>
      </rPr>
      <t xml:space="preserve">年</t>
    </r>
    <r>
      <rPr>
        <sz val="11"/>
        <rFont val="Noto Sans JP"/>
        <family val="0"/>
        <charset val="1"/>
      </rPr>
      <t xml:space="preserve">2</t>
    </r>
    <r>
      <rPr>
        <sz val="11"/>
        <rFont val="WenQuanYi Zen Hei"/>
        <family val="2"/>
      </rPr>
      <t xml:space="preserve">月</t>
    </r>
    <r>
      <rPr>
        <sz val="11"/>
        <rFont val="Noto Sans JP"/>
        <family val="0"/>
        <charset val="1"/>
      </rPr>
      <t xml:space="preserve">6</t>
    </r>
    <r>
      <rPr>
        <sz val="11"/>
        <rFont val="WenQuanYi Zen Hei"/>
        <family val="2"/>
      </rPr>
      <t xml:space="preserve">日です（前日の</t>
    </r>
    <r>
      <rPr>
        <sz val="11"/>
        <rFont val="Noto Sans JP"/>
        <family val="0"/>
        <charset val="1"/>
      </rPr>
      <t xml:space="preserve">2027</t>
    </r>
    <r>
      <rPr>
        <sz val="11"/>
        <rFont val="WenQuanYi Zen Hei"/>
        <family val="2"/>
      </rPr>
      <t xml:space="preserve">年</t>
    </r>
    <r>
      <rPr>
        <sz val="11"/>
        <rFont val="Noto Sans JP"/>
        <family val="0"/>
        <charset val="1"/>
      </rPr>
      <t xml:space="preserve">2</t>
    </r>
    <r>
      <rPr>
        <sz val="11"/>
        <rFont val="WenQuanYi Zen Hei"/>
        <family val="2"/>
      </rPr>
      <t xml:space="preserve">月</t>
    </r>
    <r>
      <rPr>
        <sz val="11"/>
        <rFont val="Noto Sans JP"/>
        <family val="0"/>
        <charset val="1"/>
      </rPr>
      <t xml:space="preserve">5</t>
    </r>
    <r>
      <rPr>
        <sz val="11"/>
        <rFont val="WenQuanYi Zen Hei"/>
        <family val="2"/>
      </rPr>
      <t xml:space="preserve">日に</t>
    </r>
    <r>
      <rPr>
        <sz val="11"/>
        <rFont val="Noto Sans JP"/>
        <family val="0"/>
        <charset val="1"/>
      </rPr>
      <t xml:space="preserve">Wave 1</t>
    </r>
    <r>
      <rPr>
        <sz val="11"/>
        <rFont val="WenQuanYi Zen Hei"/>
        <family val="2"/>
      </rPr>
      <t xml:space="preserve">の移行判定を行い、当日は</t>
    </r>
    <r>
      <rPr>
        <sz val="11"/>
        <rFont val="Noto Sans JP"/>
        <family val="0"/>
        <charset val="1"/>
      </rPr>
      <t xml:space="preserve">22:00</t>
    </r>
    <r>
      <rPr>
        <sz val="11"/>
        <rFont val="WenQuanYi Zen Hei"/>
        <family val="2"/>
      </rPr>
      <t xml:space="preserve">～翌</t>
    </r>
    <r>
      <rPr>
        <sz val="11"/>
        <rFont val="Noto Sans JP"/>
        <family val="0"/>
        <charset val="1"/>
      </rPr>
      <t xml:space="preserve">2:00</t>
    </r>
    <r>
      <rPr>
        <sz val="11"/>
        <rFont val="WenQuanYi Zen Hei"/>
        <family val="2"/>
      </rPr>
      <t xml:space="preserve">を計画停止枠として作業します）。</t>
    </r>
  </si>
  <si>
    <t xml:space="preserve">/tmp/out/05-Q13.txt</t>
  </si>
  <si>
    <r>
      <rPr>
        <sz val="11"/>
        <rFont val="WenQuanYi Zen Hei"/>
        <family val="2"/>
      </rPr>
      <t xml:space="preserve">データ担当、</t>
    </r>
    <r>
      <rPr>
        <sz val="11"/>
        <rFont val="Noto Sans JP"/>
        <family val="0"/>
        <charset val="1"/>
      </rPr>
      <t xml:space="preserve">2027</t>
    </r>
    <r>
      <rPr>
        <sz val="11"/>
        <rFont val="WenQuanYi Zen Hei"/>
        <family val="2"/>
      </rPr>
      <t xml:space="preserve">年</t>
    </r>
    <r>
      <rPr>
        <sz val="11"/>
        <rFont val="Noto Sans JP"/>
        <family val="0"/>
        <charset val="1"/>
      </rPr>
      <t xml:space="preserve">2</t>
    </r>
    <r>
      <rPr>
        <sz val="11"/>
        <rFont val="WenQuanYi Zen Hei"/>
        <family val="2"/>
      </rPr>
      <t xml:space="preserve">月</t>
    </r>
    <r>
      <rPr>
        <sz val="11"/>
        <rFont val="Noto Sans JP"/>
        <family val="0"/>
        <charset val="1"/>
      </rPr>
      <t xml:space="preserve">6</t>
    </r>
    <r>
      <rPr>
        <sz val="11"/>
        <rFont val="WenQuanYi Zen Hei"/>
        <family val="2"/>
      </rPr>
      <t xml:space="preserve">日</t>
    </r>
    <r>
      <rPr>
        <sz val="11"/>
        <rFont val="Noto Sans JP"/>
        <family val="0"/>
        <charset val="1"/>
      </rPr>
      <t xml:space="preserve">22:30</t>
    </r>
    <r>
      <rPr>
        <sz val="11"/>
        <rFont val="WenQuanYi Zen Hei"/>
        <family val="2"/>
      </rPr>
      <t xml:space="preserve">。</t>
    </r>
  </si>
  <si>
    <r>
      <rPr>
        <sz val="11"/>
        <rFont val="WenQuanYi Zen Hei"/>
        <family val="2"/>
      </rPr>
      <t xml:space="preserve">データ担当が、</t>
    </r>
    <r>
      <rPr>
        <sz val="11"/>
        <rFont val="Noto Sans JP"/>
        <family val="0"/>
        <charset val="1"/>
      </rPr>
      <t xml:space="preserve">Wave 1</t>
    </r>
    <r>
      <rPr>
        <sz val="11"/>
        <rFont val="WenQuanYi Zen Hei"/>
        <family val="2"/>
      </rPr>
      <t xml:space="preserve">当日（</t>
    </r>
    <r>
      <rPr>
        <sz val="11"/>
        <rFont val="Noto Sans JP"/>
        <family val="0"/>
        <charset val="1"/>
      </rPr>
      <t xml:space="preserve">2027</t>
    </r>
    <r>
      <rPr>
        <sz val="11"/>
        <rFont val="WenQuanYi Zen Hei"/>
        <family val="2"/>
      </rPr>
      <t xml:space="preserve">年</t>
    </r>
    <r>
      <rPr>
        <sz val="11"/>
        <rFont val="Noto Sans JP"/>
        <family val="0"/>
        <charset val="1"/>
      </rPr>
      <t xml:space="preserve">2</t>
    </r>
    <r>
      <rPr>
        <sz val="11"/>
        <rFont val="WenQuanYi Zen Hei"/>
        <family val="2"/>
      </rPr>
      <t xml:space="preserve">月</t>
    </r>
    <r>
      <rPr>
        <sz val="11"/>
        <rFont val="Noto Sans JP"/>
        <family val="0"/>
        <charset val="1"/>
      </rPr>
      <t xml:space="preserve">6</t>
    </r>
    <r>
      <rPr>
        <sz val="11"/>
        <rFont val="WenQuanYi Zen Hei"/>
        <family val="2"/>
      </rPr>
      <t xml:space="preserve">日）の</t>
    </r>
    <r>
      <rPr>
        <sz val="11"/>
        <rFont val="Noto Sans JP"/>
        <family val="0"/>
        <charset val="1"/>
      </rPr>
      <t xml:space="preserve">22:30</t>
    </r>
    <r>
      <rPr>
        <sz val="11"/>
        <rFont val="WenQuanYi Zen Hei"/>
        <family val="2"/>
      </rPr>
      <t xml:space="preserve">（日本時間）に差分データ同期・件数照合を行います（スライド</t>
    </r>
    <r>
      <rPr>
        <sz val="11"/>
        <rFont val="Noto Sans JP"/>
        <family val="0"/>
        <charset val="1"/>
      </rPr>
      <t xml:space="preserve">8</t>
    </r>
    <r>
      <rPr>
        <sz val="11"/>
        <rFont val="WenQuanYi Zen Hei"/>
        <family val="2"/>
      </rPr>
      <t xml:space="preserve">）。</t>
    </r>
  </si>
  <si>
    <t xml:space="preserve">/tmp/out/05-Q14.txt</t>
  </si>
  <si>
    <r>
      <rPr>
        <sz val="11"/>
        <rFont val="Noto Sans JP"/>
        <family val="0"/>
        <charset val="1"/>
      </rPr>
      <t xml:space="preserve">2027</t>
    </r>
    <r>
      <rPr>
        <sz val="11"/>
        <rFont val="WenQuanYi Zen Hei"/>
        <family val="2"/>
      </rPr>
      <t xml:space="preserve">年</t>
    </r>
    <r>
      <rPr>
        <sz val="11"/>
        <rFont val="Noto Sans JP"/>
        <family val="0"/>
        <charset val="1"/>
      </rPr>
      <t xml:space="preserve">2</t>
    </r>
    <r>
      <rPr>
        <sz val="11"/>
        <rFont val="WenQuanYi Zen Hei"/>
        <family val="2"/>
      </rPr>
      <t xml:space="preserve">月</t>
    </r>
    <r>
      <rPr>
        <sz val="11"/>
        <rFont val="Noto Sans JP"/>
        <family val="0"/>
        <charset val="1"/>
      </rPr>
      <t xml:space="preserve">7</t>
    </r>
    <r>
      <rPr>
        <sz val="11"/>
        <rFont val="WenQuanYi Zen Hei"/>
        <family val="2"/>
      </rPr>
      <t xml:space="preserve">日</t>
    </r>
    <r>
      <rPr>
        <sz val="11"/>
        <rFont val="Noto Sans JP"/>
        <family val="0"/>
        <charset val="1"/>
      </rPr>
      <t xml:space="preserve">2:00</t>
    </r>
    <r>
      <rPr>
        <sz val="11"/>
        <rFont val="WenQuanYi Zen Hei"/>
        <family val="2"/>
      </rPr>
      <t xml:space="preserve">。</t>
    </r>
  </si>
  <si>
    <r>
      <rPr>
        <sz val="11"/>
        <rFont val="WenQuanYi Zen Hei"/>
        <family val="2"/>
      </rPr>
      <t xml:space="preserve">翌</t>
    </r>
    <r>
      <rPr>
        <sz val="11"/>
        <rFont val="Noto Sans JP"/>
        <family val="0"/>
        <charset val="1"/>
      </rPr>
      <t xml:space="preserve">2:00</t>
    </r>
    <r>
      <rPr>
        <sz val="11"/>
        <rFont val="WenQuanYi Zen Hei"/>
        <family val="2"/>
      </rPr>
      <t xml:space="preserve">（</t>
    </r>
    <r>
      <rPr>
        <sz val="11"/>
        <rFont val="Noto Sans JP"/>
        <family val="0"/>
        <charset val="1"/>
      </rPr>
      <t xml:space="preserve">2027</t>
    </r>
    <r>
      <rPr>
        <sz val="11"/>
        <rFont val="WenQuanYi Zen Hei"/>
        <family val="2"/>
      </rPr>
      <t xml:space="preserve">年</t>
    </r>
    <r>
      <rPr>
        <sz val="11"/>
        <rFont val="Noto Sans JP"/>
        <family val="0"/>
        <charset val="1"/>
      </rPr>
      <t xml:space="preserve">2</t>
    </r>
    <r>
      <rPr>
        <sz val="11"/>
        <rFont val="WenQuanYi Zen Hei"/>
        <family val="2"/>
      </rPr>
      <t xml:space="preserve">月</t>
    </r>
    <r>
      <rPr>
        <sz val="11"/>
        <rFont val="Noto Sans JP"/>
        <family val="0"/>
        <charset val="1"/>
      </rPr>
      <t xml:space="preserve">7</t>
    </r>
    <r>
      <rPr>
        <sz val="11"/>
        <rFont val="WenQuanYi Zen Hei"/>
        <family val="2"/>
      </rPr>
      <t xml:space="preserve">日 </t>
    </r>
    <r>
      <rPr>
        <sz val="11"/>
        <rFont val="Noto Sans JP"/>
        <family val="0"/>
        <charset val="1"/>
      </rPr>
      <t xml:space="preserve">2:00</t>
    </r>
    <r>
      <rPr>
        <sz val="11"/>
        <rFont val="WenQuanYi Zen Hei"/>
        <family val="2"/>
      </rPr>
      <t xml:space="preserve">、日本時間）です。</t>
    </r>
    <r>
      <rPr>
        <sz val="11"/>
        <rFont val="Noto Sans JP"/>
        <family val="0"/>
        <charset val="1"/>
      </rPr>
      <t xml:space="preserve">0:30</t>
    </r>
    <r>
      <rPr>
        <sz val="11"/>
        <rFont val="WenQuanYi Zen Hei"/>
        <family val="2"/>
      </rPr>
      <t xml:space="preserve">に開始して最大</t>
    </r>
    <r>
      <rPr>
        <sz val="11"/>
        <rFont val="Noto Sans JP"/>
        <family val="0"/>
        <charset val="1"/>
      </rPr>
      <t xml:space="preserve">90</t>
    </r>
    <r>
      <rPr>
        <sz val="11"/>
        <rFont val="WenQuanYi Zen Hei"/>
        <family val="2"/>
      </rPr>
      <t xml:space="preserve">分かかると</t>
    </r>
    <r>
      <rPr>
        <sz val="11"/>
        <rFont val="Noto Sans JP"/>
        <family val="0"/>
        <charset val="1"/>
      </rPr>
      <t xml:space="preserve">2:00</t>
    </r>
    <r>
      <rPr>
        <sz val="11"/>
        <rFont val="WenQuanYi Zen Hei"/>
        <family val="2"/>
      </rPr>
      <t xml:space="preserve">に完了します。これは計画停止枠（</t>
    </r>
    <r>
      <rPr>
        <sz val="11"/>
        <rFont val="Noto Sans JP"/>
        <family val="0"/>
        <charset val="1"/>
      </rPr>
      <t xml:space="preserve">22:00</t>
    </r>
    <r>
      <rPr>
        <sz val="11"/>
        <rFont val="WenQuanYi Zen Hei"/>
        <family val="2"/>
      </rPr>
      <t xml:space="preserve">～翌</t>
    </r>
    <r>
      <rPr>
        <sz val="11"/>
        <rFont val="Noto Sans JP"/>
        <family val="0"/>
        <charset val="1"/>
      </rPr>
      <t xml:space="preserve">2:00</t>
    </r>
    <r>
      <rPr>
        <sz val="11"/>
        <rFont val="WenQuanYi Zen Hei"/>
        <family val="2"/>
      </rPr>
      <t xml:space="preserve">）の終了時刻、および「翌</t>
    </r>
    <r>
      <rPr>
        <sz val="11"/>
        <rFont val="Noto Sans JP"/>
        <family val="0"/>
        <charset val="1"/>
      </rPr>
      <t xml:space="preserve">2:00</t>
    </r>
    <r>
      <rPr>
        <sz val="11"/>
        <rFont val="WenQuanYi Zen Hei"/>
        <family val="2"/>
      </rPr>
      <t xml:space="preserve">まで 利用再開、または切戻し完了」と一致します。（出典：スライド</t>
    </r>
    <r>
      <rPr>
        <sz val="11"/>
        <rFont val="Noto Sans JP"/>
        <family val="0"/>
        <charset val="1"/>
      </rPr>
      <t xml:space="preserve">8</t>
    </r>
    <r>
      <rPr>
        <sz val="11"/>
        <rFont val="WenQuanYi Zen Hei"/>
        <family val="2"/>
      </rPr>
      <t xml:space="preserve">「</t>
    </r>
    <r>
      <rPr>
        <sz val="11"/>
        <rFont val="Noto Sans JP"/>
        <family val="0"/>
        <charset val="1"/>
      </rPr>
      <t xml:space="preserve">Wave 1</t>
    </r>
    <r>
      <rPr>
        <sz val="11"/>
        <rFont val="WenQuanYi Zen Hei"/>
        <family val="2"/>
      </rPr>
      <t xml:space="preserve">当日の作業手順」の表と注記「切戻しは最大</t>
    </r>
    <r>
      <rPr>
        <sz val="11"/>
        <rFont val="Noto Sans JP"/>
        <family val="0"/>
        <charset val="1"/>
      </rPr>
      <t xml:space="preserve">90</t>
    </r>
    <r>
      <rPr>
        <sz val="11"/>
        <rFont val="WenQuanYi Zen Hei"/>
        <family val="2"/>
      </rPr>
      <t xml:space="preserve">分を想定。</t>
    </r>
    <r>
      <rPr>
        <sz val="11"/>
        <rFont val="Noto Sans JP"/>
        <family val="0"/>
        <charset val="1"/>
      </rPr>
      <t xml:space="preserve">0:30</t>
    </r>
    <r>
      <rPr>
        <sz val="11"/>
        <rFont val="WenQuanYi Zen Hei"/>
        <family val="2"/>
      </rPr>
      <t xml:space="preserve">の判断期限を超えない。」）</t>
    </r>
  </si>
  <si>
    <t xml:space="preserve">/tmp/out/05-Q15.txt</t>
  </si>
  <si>
    <t xml:space="preserve">できない。重要テーブル件数はすべて一致が必要で、当日は切り戻す。</t>
  </si>
  <si>
    <r>
      <rPr>
        <sz val="11"/>
        <rFont val="WenQuanYi Zen Hei"/>
        <family val="2"/>
      </rPr>
      <t xml:space="preserve">いいえ、継続できません。
スライド</t>
    </r>
    <r>
      <rPr>
        <sz val="11"/>
        <rFont val="Noto Sans JP"/>
        <family val="0"/>
        <charset val="1"/>
      </rPr>
      <t xml:space="preserve">9</t>
    </r>
    <r>
      <rPr>
        <sz val="11"/>
        <rFont val="WenQuanYi Zen Hei"/>
        <family val="2"/>
      </rPr>
      <t xml:space="preserve">「移行判定と切戻しの条件」では、当日判定の必須条件として「同期後の重要テーブル件数：すべて一致」と「ログインと主要検索：両方正常」の両方が定められています。さらに「基準を一つでも満たさなければ移行しない、または切り戻す」と明記されています。重要テーブルが</t>
    </r>
    <r>
      <rPr>
        <sz val="11"/>
        <rFont val="Noto Sans JP"/>
        <family val="0"/>
        <charset val="1"/>
      </rPr>
      <t xml:space="preserve">1</t>
    </r>
    <r>
      <rPr>
        <sz val="11"/>
        <rFont val="WenQuanYi Zen Hei"/>
        <family val="2"/>
      </rPr>
      <t xml:space="preserve">つでも件数不一致であれば「すべて一致」を満たさないため、ログインや主要検索などの機能が正常であっても継続の条件は満たされず、切戻しの対象になります。
切戻しの進め方（スライド</t>
    </r>
    <r>
      <rPr>
        <sz val="11"/>
        <rFont val="Noto Sans JP"/>
        <family val="0"/>
        <charset val="1"/>
      </rPr>
      <t xml:space="preserve">8</t>
    </r>
    <r>
      <rPr>
        <sz val="11"/>
        <rFont val="WenQuanYi Zen Hei"/>
        <family val="2"/>
      </rPr>
      <t xml:space="preserve">・</t>
    </r>
    <r>
      <rPr>
        <sz val="11"/>
        <rFont val="Noto Sans JP"/>
        <family val="0"/>
        <charset val="1"/>
      </rPr>
      <t xml:space="preserve">9</t>
    </r>
    <r>
      <rPr>
        <sz val="11"/>
        <rFont val="WenQuanYi Zen Hei"/>
        <family val="2"/>
      </rPr>
      <t xml:space="preserve">より）：
</t>
    </r>
    <r>
      <rPr>
        <sz val="11"/>
        <rFont val="Noto Sans JP"/>
        <family val="0"/>
        <charset val="1"/>
      </rPr>
      <t xml:space="preserve">- </t>
    </r>
    <r>
      <rPr>
        <sz val="11"/>
        <rFont val="WenQuanYi Zen Hei"/>
        <family val="2"/>
      </rPr>
      <t xml:space="preserve">継続か切戻しかの判断者は移行責任者で、判断期限は翌</t>
    </r>
    <r>
      <rPr>
        <sz val="11"/>
        <rFont val="Noto Sans JP"/>
        <family val="0"/>
        <charset val="1"/>
      </rPr>
      <t xml:space="preserve">0:30</t>
    </r>
    <r>
      <rPr>
        <sz val="11"/>
        <rFont val="WenQuanYi Zen Hei"/>
        <family val="2"/>
      </rPr>
      <t xml:space="preserve">です（</t>
    </r>
    <r>
      <rPr>
        <sz val="11"/>
        <rFont val="Noto Sans JP"/>
        <family val="0"/>
        <charset val="1"/>
      </rPr>
      <t xml:space="preserve">0:30</t>
    </r>
    <r>
      <rPr>
        <sz val="11"/>
        <rFont val="WenQuanYi Zen Hei"/>
        <family val="2"/>
      </rPr>
      <t xml:space="preserve">の判断期限を超えない）。
</t>
    </r>
    <r>
      <rPr>
        <sz val="11"/>
        <rFont val="Noto Sans JP"/>
        <family val="0"/>
        <charset val="1"/>
      </rPr>
      <t xml:space="preserve">- </t>
    </r>
    <r>
      <rPr>
        <sz val="11"/>
        <rFont val="WenQuanYi Zen Hei"/>
        <family val="2"/>
      </rPr>
      <t xml:space="preserve">切戻しは旧環境へ接続先を戻し、新環境への書込を停止して行います。
</t>
    </r>
    <r>
      <rPr>
        <sz val="11"/>
        <rFont val="Noto Sans JP"/>
        <family val="0"/>
        <charset val="1"/>
      </rPr>
      <t xml:space="preserve">- </t>
    </r>
    <r>
      <rPr>
        <sz val="11"/>
        <rFont val="WenQuanYi Zen Hei"/>
        <family val="2"/>
      </rPr>
      <t xml:space="preserve">切戻しには最大</t>
    </r>
    <r>
      <rPr>
        <sz val="11"/>
        <rFont val="Noto Sans JP"/>
        <family val="0"/>
        <charset val="1"/>
      </rPr>
      <t xml:space="preserve">90</t>
    </r>
    <r>
      <rPr>
        <sz val="11"/>
        <rFont val="WenQuanYi Zen Hei"/>
        <family val="2"/>
      </rPr>
      <t xml:space="preserve">分を見込んでおり、計画停止枠の終わり（翌</t>
    </r>
    <r>
      <rPr>
        <sz val="11"/>
        <rFont val="Noto Sans JP"/>
        <family val="0"/>
        <charset val="1"/>
      </rPr>
      <t xml:space="preserve">2:00</t>
    </r>
    <r>
      <rPr>
        <sz val="11"/>
        <rFont val="WenQuanYi Zen Hei"/>
        <family val="2"/>
      </rPr>
      <t xml:space="preserve">）までに完了させます。</t>
    </r>
  </si>
  <si>
    <t xml:space="preserve">/tmp/out/05-Q16.txt</t>
  </si>
  <si>
    <r>
      <rPr>
        <sz val="11"/>
        <rFont val="WenQuanYi Zen Hei"/>
        <family val="2"/>
      </rPr>
      <t xml:space="preserve">できない。</t>
    </r>
    <r>
      <rPr>
        <sz val="11"/>
        <rFont val="Noto Sans JP"/>
        <family val="0"/>
        <charset val="1"/>
      </rPr>
      <t xml:space="preserve">RTO4</t>
    </r>
    <r>
      <rPr>
        <sz val="11"/>
        <rFont val="WenQuanYi Zen Hei"/>
        <family val="2"/>
      </rPr>
      <t xml:space="preserve">時間以内は満たすが</t>
    </r>
    <r>
      <rPr>
        <sz val="11"/>
        <rFont val="Noto Sans JP"/>
        <family val="0"/>
        <charset val="1"/>
      </rPr>
      <t xml:space="preserve">RPO24</t>
    </r>
    <r>
      <rPr>
        <sz val="11"/>
        <rFont val="WenQuanYi Zen Hei"/>
        <family val="2"/>
      </rPr>
      <t xml:space="preserve">時間以内を満たさない。</t>
    </r>
  </si>
  <si>
    <t xml:space="preserve">3,9</t>
  </si>
  <si>
    <r>
      <rPr>
        <sz val="11"/>
        <rFont val="WenQuanYi Zen Hei"/>
        <family val="2"/>
      </rPr>
      <t xml:space="preserve">通過できません。
資料では、事前判定の条件は「復旧試験で</t>
    </r>
    <r>
      <rPr>
        <sz val="11"/>
        <rFont val="Noto Sans JP"/>
        <family val="0"/>
        <charset val="1"/>
      </rPr>
      <t xml:space="preserve">RTO</t>
    </r>
    <r>
      <rPr>
        <sz val="11"/>
        <rFont val="WenQuanYi Zen Hei"/>
        <family val="2"/>
      </rPr>
      <t xml:space="preserve">・</t>
    </r>
    <r>
      <rPr>
        <sz val="11"/>
        <rFont val="Noto Sans JP"/>
        <family val="0"/>
        <charset val="1"/>
      </rPr>
      <t xml:space="preserve">RPO</t>
    </r>
    <r>
      <rPr>
        <sz val="11"/>
        <rFont val="WenQuanYi Zen Hei"/>
        <family val="2"/>
      </rPr>
      <t xml:space="preserve">を両方達成」することです（スライド</t>
    </r>
    <r>
      <rPr>
        <sz val="11"/>
        <rFont val="Noto Sans JP"/>
        <family val="0"/>
        <charset val="1"/>
      </rPr>
      <t xml:space="preserve">9</t>
    </r>
    <r>
      <rPr>
        <sz val="11"/>
        <rFont val="WenQuanYi Zen Hei"/>
        <family val="2"/>
      </rPr>
      <t xml:space="preserve">）。社内ポータルの目標値は、</t>
    </r>
    <r>
      <rPr>
        <sz val="11"/>
        <rFont val="Noto Sans JP"/>
        <family val="0"/>
        <charset val="1"/>
      </rPr>
      <t xml:space="preserve">RTO</t>
    </r>
    <r>
      <rPr>
        <sz val="11"/>
        <rFont val="WenQuanYi Zen Hei"/>
        <family val="2"/>
      </rPr>
      <t xml:space="preserve">が</t>
    </r>
    <r>
      <rPr>
        <sz val="11"/>
        <rFont val="Noto Sans JP"/>
        <family val="0"/>
        <charset val="1"/>
      </rPr>
      <t xml:space="preserve">4</t>
    </r>
    <r>
      <rPr>
        <sz val="11"/>
        <rFont val="WenQuanYi Zen Hei"/>
        <family val="2"/>
      </rPr>
      <t xml:space="preserve">時間、</t>
    </r>
    <r>
      <rPr>
        <sz val="11"/>
        <rFont val="Noto Sans JP"/>
        <family val="0"/>
        <charset val="1"/>
      </rPr>
      <t xml:space="preserve">RPO</t>
    </r>
    <r>
      <rPr>
        <sz val="11"/>
        <rFont val="WenQuanYi Zen Hei"/>
        <family val="2"/>
      </rPr>
      <t xml:space="preserve">が</t>
    </r>
    <r>
      <rPr>
        <sz val="11"/>
        <rFont val="Noto Sans JP"/>
        <family val="0"/>
        <charset val="1"/>
      </rPr>
      <t xml:space="preserve">24</t>
    </r>
    <r>
      <rPr>
        <sz val="11"/>
        <rFont val="WenQuanYi Zen Hei"/>
        <family val="2"/>
      </rPr>
      <t xml:space="preserve">時間です（スライド</t>
    </r>
    <r>
      <rPr>
        <sz val="11"/>
        <rFont val="Noto Sans JP"/>
        <family val="0"/>
        <charset val="1"/>
      </rPr>
      <t xml:space="preserve">3</t>
    </r>
    <r>
      <rPr>
        <sz val="11"/>
        <rFont val="WenQuanYi Zen Hei"/>
        <family val="2"/>
      </rPr>
      <t xml:space="preserve">）。
</t>
    </r>
    <r>
      <rPr>
        <sz val="11"/>
        <rFont val="Noto Sans JP"/>
        <family val="0"/>
        <charset val="1"/>
      </rPr>
      <t xml:space="preserve">- RTO</t>
    </r>
    <r>
      <rPr>
        <sz val="11"/>
        <rFont val="WenQuanYi Zen Hei"/>
        <family val="2"/>
      </rPr>
      <t xml:space="preserve">：</t>
    </r>
    <r>
      <rPr>
        <sz val="11"/>
        <rFont val="Noto Sans JP"/>
        <family val="0"/>
        <charset val="1"/>
      </rPr>
      <t xml:space="preserve">3</t>
    </r>
    <r>
      <rPr>
        <sz val="11"/>
        <rFont val="WenQuanYi Zen Hei"/>
        <family val="2"/>
      </rPr>
      <t xml:space="preserve">時間です。目標の</t>
    </r>
    <r>
      <rPr>
        <sz val="11"/>
        <rFont val="Noto Sans JP"/>
        <family val="0"/>
        <charset val="1"/>
      </rPr>
      <t xml:space="preserve">4</t>
    </r>
    <r>
      <rPr>
        <sz val="11"/>
        <rFont val="WenQuanYi Zen Hei"/>
        <family val="2"/>
      </rPr>
      <t xml:space="preserve">時間以内なので達成しています。
</t>
    </r>
    <r>
      <rPr>
        <sz val="11"/>
        <rFont val="Noto Sans JP"/>
        <family val="0"/>
        <charset val="1"/>
      </rPr>
      <t xml:space="preserve">- RPO</t>
    </r>
    <r>
      <rPr>
        <sz val="11"/>
        <rFont val="WenQuanYi Zen Hei"/>
        <family val="2"/>
      </rPr>
      <t xml:space="preserve">：</t>
    </r>
    <r>
      <rPr>
        <sz val="11"/>
        <rFont val="Noto Sans JP"/>
        <family val="0"/>
        <charset val="1"/>
      </rPr>
      <t xml:space="preserve">30</t>
    </r>
    <r>
      <rPr>
        <sz val="11"/>
        <rFont val="WenQuanYi Zen Hei"/>
        <family val="2"/>
      </rPr>
      <t xml:space="preserve">時間です。許容値の</t>
    </r>
    <r>
      <rPr>
        <sz val="11"/>
        <rFont val="Noto Sans JP"/>
        <family val="0"/>
        <charset val="1"/>
      </rPr>
      <t xml:space="preserve">24</t>
    </r>
    <r>
      <rPr>
        <sz val="11"/>
        <rFont val="WenQuanYi Zen Hei"/>
        <family val="2"/>
      </rPr>
      <t xml:space="preserve">時間を</t>
    </r>
    <r>
      <rPr>
        <sz val="11"/>
        <rFont val="Noto Sans JP"/>
        <family val="0"/>
        <charset val="1"/>
      </rPr>
      <t xml:space="preserve">6</t>
    </r>
    <r>
      <rPr>
        <sz val="11"/>
        <rFont val="WenQuanYi Zen Hei"/>
        <family val="2"/>
      </rPr>
      <t xml:space="preserve">時間超えているので未達です。
スライド</t>
    </r>
    <r>
      <rPr>
        <sz val="11"/>
        <rFont val="Noto Sans JP"/>
        <family val="0"/>
        <charset val="1"/>
      </rPr>
      <t xml:space="preserve">9</t>
    </r>
    <r>
      <rPr>
        <sz val="11"/>
        <rFont val="WenQuanYi Zen Hei"/>
        <family val="2"/>
      </rPr>
      <t xml:space="preserve">には「基準を一つでも満たさなければ移行しない」とあります。</t>
    </r>
    <r>
      <rPr>
        <sz val="11"/>
        <rFont val="Noto Sans JP"/>
        <family val="0"/>
        <charset val="1"/>
      </rPr>
      <t xml:space="preserve">RPO</t>
    </r>
    <r>
      <rPr>
        <sz val="11"/>
        <rFont val="WenQuanYi Zen Hei"/>
        <family val="2"/>
      </rPr>
      <t xml:space="preserve">が未達なので事前判定は不合格です。スライド</t>
    </r>
    <r>
      <rPr>
        <sz val="11"/>
        <rFont val="Noto Sans JP"/>
        <family val="0"/>
        <charset val="1"/>
      </rPr>
      <t xml:space="preserve">7</t>
    </r>
    <r>
      <rPr>
        <sz val="11"/>
        <rFont val="WenQuanYi Zen Hei"/>
        <family val="2"/>
      </rPr>
      <t xml:space="preserve">では、</t>
    </r>
    <r>
      <rPr>
        <sz val="11"/>
        <rFont val="Noto Sans JP"/>
        <family val="0"/>
        <charset val="1"/>
      </rPr>
      <t xml:space="preserve">Wave</t>
    </r>
    <r>
      <rPr>
        <sz val="11"/>
        <rFont val="WenQuanYi Zen Hei"/>
        <family val="2"/>
      </rPr>
      <t xml:space="preserve">は直前の移行判定を通過した場合のみ実施するとされています。このため</t>
    </r>
    <r>
      <rPr>
        <sz val="11"/>
        <rFont val="Noto Sans JP"/>
        <family val="0"/>
        <charset val="1"/>
      </rPr>
      <t xml:space="preserve">Wave 1</t>
    </r>
    <r>
      <rPr>
        <sz val="11"/>
        <rFont val="WenQuanYi Zen Hei"/>
        <family val="2"/>
      </rPr>
      <t xml:space="preserve">（</t>
    </r>
    <r>
      <rPr>
        <sz val="11"/>
        <rFont val="Noto Sans JP"/>
        <family val="0"/>
        <charset val="1"/>
      </rPr>
      <t xml:space="preserve">2027</t>
    </r>
    <r>
      <rPr>
        <sz val="11"/>
        <rFont val="WenQuanYi Zen Hei"/>
        <family val="2"/>
      </rPr>
      <t xml:space="preserve">年</t>
    </r>
    <r>
      <rPr>
        <sz val="11"/>
        <rFont val="Noto Sans JP"/>
        <family val="0"/>
        <charset val="1"/>
      </rPr>
      <t xml:space="preserve">2</t>
    </r>
    <r>
      <rPr>
        <sz val="11"/>
        <rFont val="WenQuanYi Zen Hei"/>
        <family val="2"/>
      </rPr>
      <t xml:space="preserve">月</t>
    </r>
    <r>
      <rPr>
        <sz val="11"/>
        <rFont val="Noto Sans JP"/>
        <family val="0"/>
        <charset val="1"/>
      </rPr>
      <t xml:space="preserve">6</t>
    </r>
    <r>
      <rPr>
        <sz val="11"/>
        <rFont val="WenQuanYi Zen Hei"/>
        <family val="2"/>
      </rPr>
      <t xml:space="preserve">日の社内ポータル移行）は実施できません。</t>
    </r>
  </si>
  <si>
    <t xml:space="preserve">/tmp/out/05-Q17.txt</t>
  </si>
  <si>
    <r>
      <rPr>
        <sz val="11"/>
        <rFont val="Noto Sans JP"/>
        <family val="0"/>
        <charset val="1"/>
      </rPr>
      <t xml:space="preserve">900</t>
    </r>
    <r>
      <rPr>
        <sz val="11"/>
        <rFont val="WenQuanYi Zen Hei"/>
        <family val="2"/>
      </rPr>
      <t xml:space="preserve">＋</t>
    </r>
    <r>
      <rPr>
        <sz val="11"/>
        <rFont val="Noto Sans JP"/>
        <family val="0"/>
        <charset val="1"/>
      </rPr>
      <t xml:space="preserve">90</t>
    </r>
    <r>
      <rPr>
        <sz val="11"/>
        <rFont val="WenQuanYi Zen Hei"/>
        <family val="2"/>
      </rPr>
      <t xml:space="preserve">＝</t>
    </r>
    <r>
      <rPr>
        <sz val="11"/>
        <rFont val="Noto Sans JP"/>
        <family val="0"/>
        <charset val="1"/>
      </rPr>
      <t xml:space="preserve">990</t>
    </r>
    <r>
      <rPr>
        <sz val="11"/>
        <rFont val="WenQuanYi Zen Hei"/>
        <family val="2"/>
      </rPr>
      <t xml:space="preserve">万円。</t>
    </r>
    <r>
      <rPr>
        <sz val="11"/>
        <rFont val="Noto Sans JP"/>
        <family val="0"/>
        <charset val="1"/>
      </rPr>
      <t xml:space="preserve">990÷30</t>
    </r>
    <r>
      <rPr>
        <sz val="11"/>
        <rFont val="WenQuanYi Zen Hei"/>
        <family val="2"/>
      </rPr>
      <t xml:space="preserve">＝</t>
    </r>
    <r>
      <rPr>
        <sz val="11"/>
        <rFont val="Noto Sans JP"/>
        <family val="0"/>
        <charset val="1"/>
      </rPr>
      <t xml:space="preserve">33</t>
    </r>
    <r>
      <rPr>
        <sz val="11"/>
        <rFont val="WenQuanYi Zen Hei"/>
        <family val="2"/>
      </rPr>
      <t xml:space="preserve">か月。</t>
    </r>
  </si>
  <si>
    <t xml:space="preserve">6,10</t>
  </si>
  <si>
    <r>
      <rPr>
        <sz val="11"/>
        <rFont val="WenQuanYi Zen Hei"/>
        <family val="2"/>
      </rPr>
      <t xml:space="preserve">申請総額：</t>
    </r>
    <r>
      <rPr>
        <sz val="11"/>
        <rFont val="Noto Sans JP"/>
        <family val="0"/>
        <charset val="1"/>
      </rPr>
      <t xml:space="preserve">990</t>
    </r>
    <r>
      <rPr>
        <sz val="11"/>
        <rFont val="WenQuanYi Zen Hei"/>
        <family val="2"/>
      </rPr>
      <t xml:space="preserve">万円（初期費用</t>
    </r>
    <r>
      <rPr>
        <sz val="11"/>
        <rFont val="Noto Sans JP"/>
        <family val="0"/>
        <charset val="1"/>
      </rPr>
      <t xml:space="preserve">900</t>
    </r>
    <r>
      <rPr>
        <sz val="11"/>
        <rFont val="WenQuanYi Zen Hei"/>
        <family val="2"/>
      </rPr>
      <t xml:space="preserve">万円＋並行稼働費</t>
    </r>
    <r>
      <rPr>
        <sz val="11"/>
        <rFont val="Noto Sans JP"/>
        <family val="0"/>
        <charset val="1"/>
      </rPr>
      <t xml:space="preserve">90</t>
    </r>
    <r>
      <rPr>
        <sz val="11"/>
        <rFont val="WenQuanYi Zen Hei"/>
        <family val="2"/>
      </rPr>
      <t xml:space="preserve">万円）
単純回収期間：</t>
    </r>
    <r>
      <rPr>
        <sz val="11"/>
        <rFont val="Noto Sans JP"/>
        <family val="0"/>
        <charset val="1"/>
      </rPr>
      <t xml:space="preserve">33</t>
    </r>
    <r>
      <rPr>
        <sz val="11"/>
        <rFont val="WenQuanYi Zen Hei"/>
        <family val="2"/>
      </rPr>
      <t xml:space="preserve">か月（</t>
    </r>
    <r>
      <rPr>
        <sz val="11"/>
        <rFont val="Noto Sans JP"/>
        <family val="0"/>
        <charset val="1"/>
      </rPr>
      <t xml:space="preserve">990</t>
    </r>
    <r>
      <rPr>
        <sz val="11"/>
        <rFont val="WenQuanYi Zen Hei"/>
        <family val="2"/>
      </rPr>
      <t xml:space="preserve">万円</t>
    </r>
    <r>
      <rPr>
        <sz val="11"/>
        <rFont val="Noto Sans JP"/>
        <family val="0"/>
        <charset val="1"/>
      </rPr>
      <t xml:space="preserve">÷</t>
    </r>
    <r>
      <rPr>
        <sz val="11"/>
        <rFont val="WenQuanYi Zen Hei"/>
        <family val="2"/>
      </rPr>
      <t xml:space="preserve">定常運用費の削減</t>
    </r>
    <r>
      <rPr>
        <sz val="11"/>
        <rFont val="Noto Sans JP"/>
        <family val="0"/>
        <charset val="1"/>
      </rPr>
      <t xml:space="preserve">30</t>
    </r>
    <r>
      <rPr>
        <sz val="11"/>
        <rFont val="WenQuanYi Zen Hei"/>
        <family val="2"/>
      </rPr>
      <t xml:space="preserve">万円／月）
根拠：スライド</t>
    </r>
    <r>
      <rPr>
        <sz val="11"/>
        <rFont val="Noto Sans JP"/>
        <family val="0"/>
        <charset val="1"/>
      </rPr>
      <t xml:space="preserve">10</t>
    </r>
    <r>
      <rPr>
        <sz val="11"/>
        <rFont val="WenQuanYi Zen Hei"/>
        <family val="2"/>
      </rPr>
      <t xml:space="preserve">（スライド</t>
    </r>
    <r>
      <rPr>
        <sz val="11"/>
        <rFont val="Noto Sans JP"/>
        <family val="0"/>
        <charset val="1"/>
      </rPr>
      <t xml:space="preserve">2</t>
    </r>
    <r>
      <rPr>
        <sz val="11"/>
        <rFont val="WenQuanYi Zen Hei"/>
        <family val="2"/>
      </rPr>
      <t xml:space="preserve">・</t>
    </r>
    <r>
      <rPr>
        <sz val="11"/>
        <rFont val="Noto Sans JP"/>
        <family val="0"/>
        <charset val="1"/>
      </rPr>
      <t xml:space="preserve">5</t>
    </r>
    <r>
      <rPr>
        <sz val="11"/>
        <rFont val="WenQuanYi Zen Hei"/>
        <family val="2"/>
      </rPr>
      <t xml:space="preserve">・</t>
    </r>
    <r>
      <rPr>
        <sz val="11"/>
        <rFont val="Noto Sans JP"/>
        <family val="0"/>
        <charset val="1"/>
      </rPr>
      <t xml:space="preserve">6</t>
    </r>
    <r>
      <rPr>
        <sz val="11"/>
        <rFont val="WenQuanYi Zen Hei"/>
        <family val="2"/>
      </rPr>
      <t xml:space="preserve">と整合）。定常運用費は現行</t>
    </r>
    <r>
      <rPr>
        <sz val="11"/>
        <rFont val="Noto Sans JP"/>
        <family val="0"/>
        <charset val="1"/>
      </rPr>
      <t xml:space="preserve">100</t>
    </r>
    <r>
      <rPr>
        <sz val="11"/>
        <rFont val="WenQuanYi Zen Hei"/>
        <family val="2"/>
      </rPr>
      <t xml:space="preserve">万円／月→移行後</t>
    </r>
    <r>
      <rPr>
        <sz val="11"/>
        <rFont val="Noto Sans JP"/>
        <family val="0"/>
        <charset val="1"/>
      </rPr>
      <t xml:space="preserve">70</t>
    </r>
    <r>
      <rPr>
        <sz val="11"/>
        <rFont val="WenQuanYi Zen Hei"/>
        <family val="2"/>
      </rPr>
      <t xml:space="preserve">万円／月で、削減額は月</t>
    </r>
    <r>
      <rPr>
        <sz val="11"/>
        <rFont val="Noto Sans JP"/>
        <family val="0"/>
        <charset val="1"/>
      </rPr>
      <t xml:space="preserve">30</t>
    </r>
    <r>
      <rPr>
        <sz val="11"/>
        <rFont val="WenQuanYi Zen Hei"/>
        <family val="2"/>
      </rPr>
      <t xml:space="preserve">万円（年</t>
    </r>
    <r>
      <rPr>
        <sz val="11"/>
        <rFont val="Noto Sans JP"/>
        <family val="0"/>
        <charset val="1"/>
      </rPr>
      <t xml:space="preserve">360</t>
    </r>
    <r>
      <rPr>
        <sz val="11"/>
        <rFont val="WenQuanYi Zen Hei"/>
        <family val="2"/>
      </rPr>
      <t xml:space="preserve">万円）。並行稼働費</t>
    </r>
    <r>
      <rPr>
        <sz val="11"/>
        <rFont val="Noto Sans JP"/>
        <family val="0"/>
        <charset val="1"/>
      </rPr>
      <t xml:space="preserve">90</t>
    </r>
    <r>
      <rPr>
        <sz val="11"/>
        <rFont val="WenQuanYi Zen Hei"/>
        <family val="2"/>
      </rPr>
      <t xml:space="preserve">万円は</t>
    </r>
    <r>
      <rPr>
        <sz val="11"/>
        <rFont val="Noto Sans JP"/>
        <family val="0"/>
        <charset val="1"/>
      </rPr>
      <t xml:space="preserve">30</t>
    </r>
    <r>
      <rPr>
        <sz val="11"/>
        <rFont val="WenQuanYi Zen Hei"/>
        <family val="2"/>
      </rPr>
      <t xml:space="preserve">万円／月</t>
    </r>
    <r>
      <rPr>
        <sz val="11"/>
        <rFont val="Noto Sans JP"/>
        <family val="0"/>
        <charset val="1"/>
      </rPr>
      <t xml:space="preserve">×3</t>
    </r>
    <r>
      <rPr>
        <sz val="11"/>
        <rFont val="WenQuanYi Zen Hei"/>
        <family val="2"/>
      </rPr>
      <t xml:space="preserve">か月で、定常運用費とは別枠として申請総額に含まれる。
注意：回収期間は定常削減が始まった後（並行稼働終了後）から数えた換算で、税金・割引率・導入期間は含まない。旧環境の撤去費は初期費用に含まれる。</t>
    </r>
  </si>
  <si>
    <t xml:space="preserve">/tmp/out/05-Q18.txt</t>
  </si>
  <si>
    <r>
      <rPr>
        <sz val="11"/>
        <rFont val="Noto Sans JP"/>
        <family val="0"/>
        <charset val="1"/>
      </rPr>
      <t xml:space="preserve">CIO</t>
    </r>
    <r>
      <rPr>
        <sz val="11"/>
        <rFont val="WenQuanYi Zen Hei"/>
        <family val="2"/>
      </rPr>
      <t xml:space="preserve">、</t>
    </r>
    <r>
      <rPr>
        <sz val="11"/>
        <rFont val="Noto Sans JP"/>
        <family val="0"/>
        <charset val="1"/>
      </rPr>
      <t xml:space="preserve">2026</t>
    </r>
    <r>
      <rPr>
        <sz val="11"/>
        <rFont val="WenQuanYi Zen Hei"/>
        <family val="2"/>
      </rPr>
      <t xml:space="preserve">年</t>
    </r>
    <r>
      <rPr>
        <sz val="11"/>
        <rFont val="Noto Sans JP"/>
        <family val="0"/>
        <charset val="1"/>
      </rPr>
      <t xml:space="preserve">11</t>
    </r>
    <r>
      <rPr>
        <sz val="11"/>
        <rFont val="WenQuanYi Zen Hei"/>
        <family val="2"/>
      </rPr>
      <t xml:space="preserve">月</t>
    </r>
    <r>
      <rPr>
        <sz val="11"/>
        <rFont val="Noto Sans JP"/>
        <family val="0"/>
        <charset val="1"/>
      </rPr>
      <t xml:space="preserve">6</t>
    </r>
    <r>
      <rPr>
        <sz val="11"/>
        <rFont val="WenQuanYi Zen Hei"/>
        <family val="2"/>
      </rPr>
      <t xml:space="preserve">日。</t>
    </r>
  </si>
  <si>
    <r>
      <rPr>
        <sz val="11"/>
        <rFont val="WenQuanYi Zen Hei"/>
        <family val="2"/>
      </rPr>
      <t xml:space="preserve">決裁者は</t>
    </r>
    <r>
      <rPr>
        <sz val="11"/>
        <rFont val="Noto Sans JP"/>
        <family val="0"/>
        <charset val="1"/>
      </rPr>
      <t xml:space="preserve">CIO</t>
    </r>
    <r>
      <rPr>
        <sz val="11"/>
        <rFont val="WenQuanYi Zen Hei"/>
        <family val="2"/>
      </rPr>
      <t xml:space="preserve">、回答期限は</t>
    </r>
    <r>
      <rPr>
        <sz val="11"/>
        <rFont val="Noto Sans JP"/>
        <family val="0"/>
        <charset val="1"/>
      </rPr>
      <t xml:space="preserve">2026</t>
    </r>
    <r>
      <rPr>
        <sz val="11"/>
        <rFont val="WenQuanYi Zen Hei"/>
        <family val="2"/>
      </rPr>
      <t xml:space="preserve">年</t>
    </r>
    <r>
      <rPr>
        <sz val="11"/>
        <rFont val="Noto Sans JP"/>
        <family val="0"/>
        <charset val="1"/>
      </rPr>
      <t xml:space="preserve">11</t>
    </r>
    <r>
      <rPr>
        <sz val="11"/>
        <rFont val="WenQuanYi Zen Hei"/>
        <family val="2"/>
      </rPr>
      <t xml:space="preserve">月</t>
    </r>
    <r>
      <rPr>
        <sz val="11"/>
        <rFont val="Noto Sans JP"/>
        <family val="0"/>
        <charset val="1"/>
      </rPr>
      <t xml:space="preserve">6</t>
    </r>
    <r>
      <rPr>
        <sz val="11"/>
        <rFont val="WenQuanYi Zen Hei"/>
        <family val="2"/>
      </rPr>
      <t xml:space="preserve">日です（スライド</t>
    </r>
    <r>
      <rPr>
        <sz val="11"/>
        <rFont val="Noto Sans JP"/>
        <family val="0"/>
        <charset val="1"/>
      </rPr>
      <t xml:space="preserve">10</t>
    </r>
    <r>
      <rPr>
        <sz val="11"/>
        <rFont val="WenQuanYi Zen Hei"/>
        <family val="2"/>
      </rPr>
      <t xml:space="preserve">「投資申請は総額</t>
    </r>
    <r>
      <rPr>
        <sz val="11"/>
        <rFont val="Noto Sans JP"/>
        <family val="0"/>
        <charset val="1"/>
      </rPr>
      <t xml:space="preserve">990</t>
    </r>
    <r>
      <rPr>
        <sz val="11"/>
        <rFont val="WenQuanYi Zen Hei"/>
        <family val="2"/>
      </rPr>
      <t xml:space="preserve">万円」より）。</t>
    </r>
  </si>
  <si>
    <t xml:space="preserve">/tmp/out/05-Q19.txt</t>
  </si>
  <si>
    <t xml:space="preserve">製品名は未選定のため回答できない。</t>
  </si>
  <si>
    <r>
      <rPr>
        <sz val="11"/>
        <rFont val="WenQuanYi Zen Hei"/>
        <family val="2"/>
      </rPr>
      <t xml:space="preserve">資料には記載されていません。スライド</t>
    </r>
    <r>
      <rPr>
        <sz val="11"/>
        <rFont val="Noto Sans JP"/>
        <family val="0"/>
        <charset val="1"/>
      </rPr>
      <t xml:space="preserve">4</t>
    </r>
    <r>
      <rPr>
        <sz val="11"/>
        <rFont val="WenQuanYi Zen Hei"/>
        <family val="2"/>
      </rPr>
      <t xml:space="preserve">の注記に「移行先サービスの製品名は未選定」とあり、移行先は「クラウド</t>
    </r>
    <r>
      <rPr>
        <sz val="11"/>
        <rFont val="Noto Sans JP"/>
        <family val="0"/>
        <charset val="1"/>
      </rPr>
      <t xml:space="preserve">DB</t>
    </r>
    <r>
      <rPr>
        <sz val="11"/>
        <rFont val="WenQuanYi Zen Hei"/>
        <family val="2"/>
      </rPr>
      <t xml:space="preserve">」とだけ記載されています（スライド</t>
    </r>
    <r>
      <rPr>
        <sz val="11"/>
        <rFont val="Noto Sans JP"/>
        <family val="0"/>
        <charset val="1"/>
      </rPr>
      <t xml:space="preserve">4</t>
    </r>
    <r>
      <rPr>
        <sz val="11"/>
        <rFont val="WenQuanYi Zen Hei"/>
        <family val="2"/>
      </rPr>
      <t xml:space="preserve">）。</t>
    </r>
  </si>
  <si>
    <t xml:space="preserve">/tmp/out/05-Q20.txt</t>
  </si>
  <si>
    <r>
      <rPr>
        <b val="true"/>
        <sz val="12"/>
        <rFont val="Cambria"/>
        <family val="0"/>
        <charset val="1"/>
      </rPr>
      <t xml:space="preserve">LLM</t>
    </r>
    <r>
      <rPr>
        <b val="true"/>
        <sz val="12"/>
        <rFont val="WenQuanYi Zen Hei"/>
        <family val="2"/>
      </rPr>
      <t xml:space="preserve">スライド読解テスト：集計</t>
    </r>
  </si>
  <si>
    <r>
      <rPr>
        <b val="true"/>
        <sz val="11"/>
        <rFont val="WenQuanYi Zen Hei"/>
        <family val="2"/>
      </rPr>
      <t xml:space="preserve">資料</t>
    </r>
    <r>
      <rPr>
        <b val="true"/>
        <sz val="11"/>
        <rFont val="Cambria"/>
        <family val="0"/>
        <charset val="1"/>
      </rPr>
      <t xml:space="preserve">ID</t>
    </r>
  </si>
  <si>
    <t xml:space="preserve">問題数</t>
  </si>
  <si>
    <r>
      <rPr>
        <b val="true"/>
        <sz val="11"/>
        <rFont val="WenQuanYi Zen Hei"/>
        <family val="2"/>
      </rPr>
      <t xml:space="preserve">正解</t>
    </r>
    <r>
      <rPr>
        <b val="true"/>
        <sz val="11"/>
        <rFont val="Cambria"/>
        <family val="0"/>
        <charset val="1"/>
      </rPr>
      <t xml:space="preserve">(2</t>
    </r>
    <r>
      <rPr>
        <b val="true"/>
        <sz val="11"/>
        <rFont val="WenQuanYi Zen Hei"/>
        <family val="2"/>
      </rPr>
      <t xml:space="preserve">点</t>
    </r>
    <r>
      <rPr>
        <b val="true"/>
        <sz val="11"/>
        <rFont val="Cambria"/>
        <family val="0"/>
        <charset val="1"/>
      </rPr>
      <t xml:space="preserve">)</t>
    </r>
  </si>
  <si>
    <r>
      <rPr>
        <b val="true"/>
        <sz val="11"/>
        <rFont val="WenQuanYi Zen Hei"/>
        <family val="2"/>
      </rPr>
      <t xml:space="preserve">部分正解</t>
    </r>
    <r>
      <rPr>
        <b val="true"/>
        <sz val="11"/>
        <rFont val="Cambria"/>
        <family val="0"/>
        <charset val="1"/>
      </rPr>
      <t xml:space="preserve">(1</t>
    </r>
    <r>
      <rPr>
        <b val="true"/>
        <sz val="11"/>
        <rFont val="WenQuanYi Zen Hei"/>
        <family val="2"/>
      </rPr>
      <t xml:space="preserve">点</t>
    </r>
    <r>
      <rPr>
        <b val="true"/>
        <sz val="11"/>
        <rFont val="Cambria"/>
        <family val="0"/>
        <charset val="1"/>
      </rPr>
      <t xml:space="preserve">)</t>
    </r>
  </si>
  <si>
    <r>
      <rPr>
        <b val="true"/>
        <sz val="11"/>
        <rFont val="WenQuanYi Zen Hei"/>
        <family val="2"/>
      </rPr>
      <t xml:space="preserve">誤答</t>
    </r>
    <r>
      <rPr>
        <b val="true"/>
        <sz val="11"/>
        <rFont val="Cambria"/>
        <family val="0"/>
        <charset val="1"/>
      </rPr>
      <t xml:space="preserve">(0</t>
    </r>
    <r>
      <rPr>
        <b val="true"/>
        <sz val="11"/>
        <rFont val="WenQuanYi Zen Hei"/>
        <family val="2"/>
      </rPr>
      <t xml:space="preserve">点</t>
    </r>
    <r>
      <rPr>
        <b val="true"/>
        <sz val="11"/>
        <rFont val="Cambria"/>
        <family val="0"/>
        <charset val="1"/>
      </rPr>
      <t xml:space="preserve">)</t>
    </r>
  </si>
  <si>
    <t xml:space="preserve">得点</t>
  </si>
  <si>
    <t xml:space="preserve">満点</t>
  </si>
  <si>
    <t xml:space="preserve">得点率</t>
  </si>
  <si>
    <t xml:space="preserve">01</t>
  </si>
  <si>
    <t xml:space="preserve">02</t>
  </si>
  <si>
    <t xml:space="preserve">03</t>
  </si>
  <si>
    <t xml:space="preserve">04</t>
  </si>
  <si>
    <t xml:space="preserve">05</t>
  </si>
  <si>
    <t xml:space="preserve">合計</t>
  </si>
  <si>
    <r>
      <rPr>
        <sz val="10"/>
        <rFont val="WenQuanYi Zen Hei"/>
        <family val="2"/>
      </rPr>
      <t xml:space="preserve">実施条件：各問を新規サブエージェントに資料</t>
    </r>
    <r>
      <rPr>
        <sz val="10"/>
        <rFont val="Arial"/>
        <family val="2"/>
      </rPr>
      <t xml:space="preserve">MD</t>
    </r>
    <r>
      <rPr>
        <sz val="10"/>
        <rFont val="WenQuanYi Zen Hei"/>
        <family val="2"/>
      </rPr>
      <t xml:space="preserve">（パス）と質問のみ渡して回答させ、</t>
    </r>
    <r>
      <rPr>
        <sz val="10"/>
        <rFont val="Arial"/>
        <family val="2"/>
      </rPr>
      <t xml:space="preserve">/tmp/out/&lt;ID&gt;.txt </t>
    </r>
    <r>
      <rPr>
        <sz val="10"/>
        <rFont val="WenQuanYi Zen Hei"/>
        <family val="2"/>
      </rPr>
      <t xml:space="preserve">を生値として採点。共通指示（資料のみを根拠に等）は付与していない。「続けて質問」行は本ブックに存在しないため全問単発。実施日：</t>
    </r>
    <r>
      <rPr>
        <sz val="10"/>
        <rFont val="Arial"/>
        <family val="2"/>
      </rPr>
      <t xml:space="preserve">2026-10-31</t>
    </r>
    <r>
      <rPr>
        <sz val="10"/>
        <rFont val="WenQuanYi Zen Hei"/>
        <family val="2"/>
      </rPr>
      <t xml:space="preserve">。</t>
    </r>
  </si>
  <si>
    <r>
      <rPr>
        <sz val="10"/>
        <rFont val="WenQuanYi Zen Hei"/>
        <family val="2"/>
      </rPr>
      <t xml:space="preserve">入力形式：実施方法シートは</t>
    </r>
    <r>
      <rPr>
        <sz val="10"/>
        <rFont val="Arial"/>
        <family val="2"/>
      </rPr>
      <t xml:space="preserve">PPTX</t>
    </r>
    <r>
      <rPr>
        <sz val="10"/>
        <rFont val="WenQuanYi Zen Hei"/>
        <family val="2"/>
      </rPr>
      <t xml:space="preserve">入力を想定しているが、本実施は添付の</t>
    </r>
    <r>
      <rPr>
        <sz val="10"/>
        <rFont val="Arial"/>
        <family val="2"/>
      </rPr>
      <t xml:space="preserve">MD</t>
    </r>
    <r>
      <rPr>
        <sz val="10"/>
        <rFont val="WenQuanYi Zen Hei"/>
        <family val="2"/>
      </rPr>
      <t xml:space="preserve">変換版を入力とした。</t>
    </r>
  </si>
</sst>
</file>

<file path=xl/styles.xml><?xml version="1.0" encoding="utf-8"?>
<styleSheet xmlns="http://schemas.openxmlformats.org/spreadsheetml/2006/main">
  <numFmts count="2">
    <numFmt numFmtId="164" formatCode="General"/>
    <numFmt numFmtId="165" formatCode="0.0%"/>
  </numFmts>
  <fonts count="20">
    <font>
      <sz val="10"/>
      <name val="Arial"/>
      <family val="2"/>
    </font>
    <font>
      <sz val="10"/>
      <name val="Arial"/>
      <family val="0"/>
    </font>
    <font>
      <sz val="10"/>
      <name val="Arial"/>
      <family val="0"/>
    </font>
    <font>
      <sz val="10"/>
      <name val="Arial"/>
      <family val="0"/>
    </font>
    <font>
      <sz val="11"/>
      <name val="Calibri"/>
      <family val="0"/>
      <charset val="1"/>
    </font>
    <font>
      <b val="true"/>
      <sz val="17"/>
      <name val="Noto Sans JP"/>
      <family val="0"/>
      <charset val="1"/>
    </font>
    <font>
      <b val="true"/>
      <sz val="17"/>
      <name val="WenQuanYi Zen Hei"/>
      <family val="2"/>
    </font>
    <font>
      <sz val="12"/>
      <name val="WenQuanYi Zen Hei"/>
      <family val="2"/>
    </font>
    <font>
      <sz val="12"/>
      <name val="Noto Sans JP"/>
      <family val="0"/>
      <charset val="1"/>
    </font>
    <font>
      <b val="true"/>
      <sz val="15"/>
      <name val="WenQuanYi Zen Hei"/>
      <family val="2"/>
    </font>
    <font>
      <b val="true"/>
      <sz val="15"/>
      <name val="Noto Sans JP"/>
      <family val="0"/>
      <charset val="1"/>
    </font>
    <font>
      <b val="true"/>
      <sz val="11"/>
      <color rgb="FFFFFFFF"/>
      <name val="Noto Sans JP"/>
      <family val="0"/>
      <charset val="1"/>
    </font>
    <font>
      <b val="true"/>
      <sz val="11"/>
      <color rgb="FFFFFFFF"/>
      <name val="WenQuanYi Zen Hei"/>
      <family val="2"/>
    </font>
    <font>
      <sz val="11"/>
      <name val="Noto Sans JP"/>
      <family val="0"/>
      <charset val="1"/>
    </font>
    <font>
      <sz val="11"/>
      <name val="WenQuanYi Zen Hei"/>
      <family val="2"/>
    </font>
    <font>
      <b val="true"/>
      <sz val="11"/>
      <name val="WenQuanYi Zen Hei"/>
      <family val="2"/>
    </font>
    <font>
      <sz val="10"/>
      <name val="WenQuanYi Zen Hei"/>
      <family val="2"/>
    </font>
    <font>
      <b val="true"/>
      <sz val="12"/>
      <name val="Cambria"/>
      <family val="0"/>
      <charset val="1"/>
    </font>
    <font>
      <b val="true"/>
      <sz val="12"/>
      <name val="WenQuanYi Zen Hei"/>
      <family val="2"/>
    </font>
    <font>
      <b val="true"/>
      <sz val="11"/>
      <name val="Cambria"/>
      <family val="0"/>
      <charset val="1"/>
    </font>
  </fonts>
  <fills count="8">
    <fill>
      <patternFill patternType="none"/>
    </fill>
    <fill>
      <patternFill patternType="gray125"/>
    </fill>
    <fill>
      <patternFill patternType="solid">
        <fgColor rgb="FF155E75"/>
        <bgColor rgb="FF17634E"/>
      </patternFill>
    </fill>
    <fill>
      <patternFill patternType="solid">
        <fgColor rgb="FFFFF8E1"/>
        <bgColor rgb="FFFFFFFF"/>
      </patternFill>
    </fill>
    <fill>
      <patternFill patternType="solid">
        <fgColor rgb="FF373F78"/>
        <bgColor rgb="FF5F427A"/>
      </patternFill>
    </fill>
    <fill>
      <patternFill patternType="solid">
        <fgColor rgb="FF8C4F22"/>
        <bgColor rgb="FF993366"/>
      </patternFill>
    </fill>
    <fill>
      <patternFill patternType="solid">
        <fgColor rgb="FF17634E"/>
        <bgColor rgb="FF155E75"/>
      </patternFill>
    </fill>
    <fill>
      <patternFill patternType="solid">
        <fgColor rgb="FF5F427A"/>
        <bgColor rgb="FF373F78"/>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0" applyFont="true" applyBorder="false" applyAlignment="true" applyProtection="false">
      <alignment horizontal="general" vertical="bottom" textRotation="0" wrapText="true" indent="0" shrinkToFit="false"/>
      <protection locked="true" hidden="false"/>
    </xf>
    <xf numFmtId="164" fontId="7" fillId="0" borderId="0" xfId="20" applyFont="true" applyBorder="false" applyAlignment="true" applyProtection="false">
      <alignment horizontal="general" vertical="bottom" textRotation="0" wrapText="true" indent="0" shrinkToFit="false"/>
      <protection locked="true" hidden="false"/>
    </xf>
    <xf numFmtId="164" fontId="9" fillId="0" borderId="0" xfId="20" applyFont="true" applyBorder="false" applyAlignment="false" applyProtection="false">
      <alignment horizontal="general" vertical="bottom" textRotation="0" wrapText="false" indent="0" shrinkToFit="false"/>
      <protection locked="true" hidden="false"/>
    </xf>
    <xf numFmtId="164" fontId="11" fillId="2" borderId="0" xfId="20" applyFont="true" applyBorder="false" applyAlignment="true" applyProtection="false">
      <alignment horizontal="general" vertical="top" textRotation="0" wrapText="true" indent="0" shrinkToFit="false"/>
      <protection locked="true" hidden="false"/>
    </xf>
    <xf numFmtId="164" fontId="12" fillId="2" borderId="0" xfId="20" applyFont="true" applyBorder="false" applyAlignment="true" applyProtection="false">
      <alignment horizontal="general" vertical="top" textRotation="0" wrapText="true" indent="0" shrinkToFit="false"/>
      <protection locked="true" hidden="false"/>
    </xf>
    <xf numFmtId="164" fontId="13" fillId="0" borderId="0" xfId="20" applyFont="true" applyBorder="false" applyAlignment="true" applyProtection="false">
      <alignment horizontal="general" vertical="top" textRotation="0" wrapText="true" indent="0" shrinkToFit="false"/>
      <protection locked="true" hidden="false"/>
    </xf>
    <xf numFmtId="164" fontId="14" fillId="0" borderId="0" xfId="20" applyFont="true" applyBorder="false" applyAlignment="true" applyProtection="false">
      <alignment horizontal="general" vertical="top" textRotation="0" wrapText="true" indent="0" shrinkToFit="false"/>
      <protection locked="true" hidden="false"/>
    </xf>
    <xf numFmtId="164" fontId="14" fillId="3" borderId="0" xfId="20" applyFont="true" applyBorder="false" applyAlignment="true" applyProtection="false">
      <alignment horizontal="general" vertical="top" textRotation="0" wrapText="true" indent="0" shrinkToFit="false"/>
      <protection locked="true" hidden="false"/>
    </xf>
    <xf numFmtId="164" fontId="13" fillId="3" borderId="0" xfId="20" applyFont="true" applyBorder="false" applyAlignment="true" applyProtection="false">
      <alignment horizontal="general" vertical="top" textRotation="0" wrapText="true" indent="0" shrinkToFit="false"/>
      <protection locked="true" hidden="false"/>
    </xf>
    <xf numFmtId="164" fontId="14" fillId="0" borderId="0" xfId="20" applyFont="false" applyBorder="false" applyAlignment="true" applyProtection="false">
      <alignment horizontal="general" vertical="top" textRotation="0" wrapText="true" indent="0" shrinkToFit="false"/>
      <protection locked="true" hidden="false"/>
    </xf>
    <xf numFmtId="164" fontId="4" fillId="0" borderId="0" xfId="20" applyFont="true" applyBorder="false" applyAlignment="true" applyProtection="false">
      <alignment horizontal="general" vertical="top" textRotation="0" wrapText="true" indent="0" shrinkToFit="false"/>
      <protection locked="true" hidden="false"/>
    </xf>
    <xf numFmtId="164" fontId="15" fillId="0" borderId="0" xfId="2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1" fillId="4" borderId="0" xfId="20" applyFont="true" applyBorder="false" applyAlignment="true" applyProtection="false">
      <alignment horizontal="general" vertical="top" textRotation="0" wrapText="true" indent="0" shrinkToFit="false"/>
      <protection locked="true" hidden="false"/>
    </xf>
    <xf numFmtId="164" fontId="12" fillId="4" borderId="0" xfId="20" applyFont="true" applyBorder="false" applyAlignment="true" applyProtection="false">
      <alignment horizontal="general" vertical="top" textRotation="0" wrapText="true" indent="0" shrinkToFit="false"/>
      <protection locked="true" hidden="false"/>
    </xf>
    <xf numFmtId="164" fontId="11" fillId="5" borderId="0" xfId="20" applyFont="true" applyBorder="false" applyAlignment="true" applyProtection="false">
      <alignment horizontal="general" vertical="top" textRotation="0" wrapText="true" indent="0" shrinkToFit="false"/>
      <protection locked="true" hidden="false"/>
    </xf>
    <xf numFmtId="164" fontId="12" fillId="5" borderId="0" xfId="20" applyFont="true" applyBorder="false" applyAlignment="true" applyProtection="false">
      <alignment horizontal="general" vertical="top" textRotation="0" wrapText="true" indent="0" shrinkToFit="false"/>
      <protection locked="true" hidden="false"/>
    </xf>
    <xf numFmtId="164" fontId="11" fillId="6" borderId="0" xfId="20" applyFont="true" applyBorder="false" applyAlignment="true" applyProtection="false">
      <alignment horizontal="general" vertical="top" textRotation="0" wrapText="true" indent="0" shrinkToFit="false"/>
      <protection locked="true" hidden="false"/>
    </xf>
    <xf numFmtId="164" fontId="12" fillId="6" borderId="0" xfId="20" applyFont="true" applyBorder="false" applyAlignment="true" applyProtection="false">
      <alignment horizontal="general" vertical="top" textRotation="0" wrapText="true" indent="0" shrinkToFit="false"/>
      <protection locked="true" hidden="false"/>
    </xf>
    <xf numFmtId="164" fontId="11" fillId="7" borderId="0" xfId="20" applyFont="true" applyBorder="false" applyAlignment="true" applyProtection="false">
      <alignment horizontal="general" vertical="top" textRotation="0" wrapText="true" indent="0" shrinkToFit="false"/>
      <protection locked="true" hidden="false"/>
    </xf>
    <xf numFmtId="164" fontId="12" fillId="7" borderId="0" xfId="20" applyFont="true" applyBorder="false" applyAlignment="true" applyProtection="false">
      <alignment horizontal="general" vertical="top" textRotation="0" wrapText="true" indent="0" shrinkToFit="false"/>
      <protection locked="true" hidden="false"/>
    </xf>
    <xf numFmtId="164" fontId="17" fillId="0" borderId="0" xfId="20" applyFont="true" applyBorder="false" applyAlignment="false" applyProtection="false">
      <alignment horizontal="general" vertical="bottom" textRotation="0" wrapText="false" indent="0" shrinkToFit="false"/>
      <protection locked="true" hidden="false"/>
    </xf>
    <xf numFmtId="165" fontId="4" fillId="0" borderId="0" xfId="20" applyFont="fals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5E75"/>
      <rgbColor rgb="FFC0C0C0"/>
      <rgbColor rgb="FF808080"/>
      <rgbColor rgb="FF9999FF"/>
      <rgbColor rgb="FF993366"/>
      <rgbColor rgb="FFFFF8E1"/>
      <rgbColor rgb="FFCCFFFF"/>
      <rgbColor rgb="FF660066"/>
      <rgbColor rgb="FFFF8080"/>
      <rgbColor rgb="FF0066CC"/>
      <rgbColor rgb="FFCCCCFF"/>
      <rgbColor rgb="FF000080"/>
      <rgbColor rgb="FFFF00FF"/>
      <rgbColor rgb="FFFFFF00"/>
      <rgbColor rgb="FF00FFFF"/>
      <rgbColor rgb="FF800080"/>
      <rgbColor rgb="FF800000"/>
      <rgbColor rgb="FF17634E"/>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F427A"/>
      <rgbColor rgb="FF969696"/>
      <rgbColor rgb="FF003366"/>
      <rgbColor rgb="FF339966"/>
      <rgbColor rgb="FF003300"/>
      <rgbColor rgb="FF333300"/>
      <rgbColor rgb="FF8C4F22"/>
      <rgbColor rgb="FF993366"/>
      <rgbColor rgb="FF373F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2.22"/>
  </cols>
  <sheetData>
    <row r="2" customFormat="false" ht="31.5" hidden="false" customHeight="true" outlineLevel="0" collapsed="false">
      <c r="A2" s="1" t="s">
        <v>0</v>
      </c>
    </row>
    <row r="3" customFormat="false" ht="31.5" hidden="false" customHeight="true" outlineLevel="0" collapsed="false">
      <c r="A3" s="2" t="s">
        <v>1</v>
      </c>
    </row>
    <row r="4" customFormat="false" ht="31.5" hidden="false" customHeight="true" outlineLevel="0" collapsed="false">
      <c r="A4" s="2" t="s">
        <v>2</v>
      </c>
    </row>
    <row r="5" customFormat="false" ht="31.5" hidden="false" customHeight="true" outlineLevel="0" collapsed="false">
      <c r="A5" s="2" t="s">
        <v>3</v>
      </c>
    </row>
    <row r="6" customFormat="false" ht="31.5" hidden="false" customHeight="true" outlineLevel="0" collapsed="false">
      <c r="A6" s="2" t="s">
        <v>4</v>
      </c>
    </row>
    <row r="7" customFormat="false" ht="31.5" hidden="false" customHeight="true" outlineLevel="0" collapsed="false">
      <c r="A7" s="2" t="s">
        <v>5</v>
      </c>
    </row>
    <row r="8" customFormat="false" ht="31.5" hidden="false" customHeight="true" outlineLevel="0" collapsed="false">
      <c r="A8" s="2" t="s">
        <v>6</v>
      </c>
    </row>
    <row r="9" customFormat="false" ht="31.5" hidden="false" customHeight="true" outlineLevel="0" collapsed="false">
      <c r="A9" s="2" t="s">
        <v>7</v>
      </c>
    </row>
    <row r="10" customFormat="false" ht="31.5" hidden="false" customHeight="true" outlineLevel="0" collapsed="false">
      <c r="A10" s="2" t="s">
        <v>8</v>
      </c>
    </row>
    <row r="11" customFormat="false" ht="31.5" hidden="false" customHeight="true" outlineLevel="0" collapsed="false">
      <c r="A11" s="2" t="s">
        <v>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22"/>
    <col collapsed="false" customWidth="true" hidden="false" outlineLevel="0" max="2" min="2" style="0" width="94.44"/>
  </cols>
  <sheetData>
    <row r="2" customFormat="false" ht="20.1" hidden="false" customHeight="false" outlineLevel="0" collapsed="false">
      <c r="A2" s="3" t="s">
        <v>10</v>
      </c>
    </row>
    <row r="4" customFormat="false" ht="25.5" hidden="false" customHeight="true" outlineLevel="0" collapsed="false">
      <c r="A4" s="4" t="s">
        <v>11</v>
      </c>
      <c r="B4" s="5" t="s">
        <v>12</v>
      </c>
    </row>
    <row r="5" customFormat="false" ht="67.5" hidden="false" customHeight="true" outlineLevel="0" collapsed="false">
      <c r="A5" s="6" t="s">
        <v>13</v>
      </c>
      <c r="B5" s="7" t="s">
        <v>14</v>
      </c>
    </row>
    <row r="6" customFormat="false" ht="67.5" hidden="false" customHeight="true" outlineLevel="0" collapsed="false">
      <c r="A6" s="6" t="s">
        <v>15</v>
      </c>
      <c r="B6" s="7" t="s">
        <v>16</v>
      </c>
    </row>
    <row r="7" customFormat="false" ht="67.5" hidden="false" customHeight="true" outlineLevel="0" collapsed="false">
      <c r="A7" s="6" t="s">
        <v>17</v>
      </c>
      <c r="B7" s="7" t="s">
        <v>18</v>
      </c>
    </row>
    <row r="8" customFormat="false" ht="67.5" hidden="false" customHeight="true" outlineLevel="0" collapsed="false">
      <c r="A8" s="6" t="s">
        <v>19</v>
      </c>
      <c r="B8" s="7" t="s">
        <v>20</v>
      </c>
    </row>
    <row r="9" customFormat="false" ht="67.5" hidden="false" customHeight="true" outlineLevel="0" collapsed="false">
      <c r="A9" s="6" t="s">
        <v>21</v>
      </c>
      <c r="B9" s="7" t="s">
        <v>22</v>
      </c>
    </row>
    <row r="10" customFormat="false" ht="67.5" hidden="false" customHeight="true" outlineLevel="0" collapsed="false">
      <c r="A10" s="6" t="s">
        <v>23</v>
      </c>
      <c r="B10" s="7" t="s">
        <v>24</v>
      </c>
    </row>
    <row r="11" customFormat="false" ht="67.5" hidden="false" customHeight="true" outlineLevel="0" collapsed="false">
      <c r="A11" s="6" t="s">
        <v>25</v>
      </c>
      <c r="B11" s="7" t="s">
        <v>26</v>
      </c>
    </row>
    <row r="12" customFormat="false" ht="67.5" hidden="false" customHeight="true" outlineLevel="0" collapsed="false">
      <c r="A12" s="6" t="s">
        <v>27</v>
      </c>
      <c r="B12" s="7" t="s">
        <v>28</v>
      </c>
    </row>
    <row r="13" customFormat="false" ht="67.5" hidden="false" customHeight="true" outlineLevel="0" collapsed="false">
      <c r="A13" s="6" t="s">
        <v>29</v>
      </c>
      <c r="B13" s="6" t="s">
        <v>30</v>
      </c>
    </row>
    <row r="14" customFormat="false" ht="67.5" hidden="false" customHeight="true" outlineLevel="0" collapsed="false">
      <c r="A14" s="6" t="s">
        <v>31</v>
      </c>
      <c r="B14" s="6" t="s">
        <v>32</v>
      </c>
    </row>
    <row r="15" customFormat="false" ht="67.5" hidden="false" customHeight="true" outlineLevel="0" collapsed="false">
      <c r="A15" s="6" t="s">
        <v>33</v>
      </c>
      <c r="B15" s="7" t="s">
        <v>34</v>
      </c>
    </row>
    <row r="16" customFormat="false" ht="67.5" hidden="false" customHeight="true" outlineLevel="0" collapsed="false">
      <c r="A16" s="6" t="s">
        <v>35</v>
      </c>
      <c r="B16" s="7" t="s">
        <v>36</v>
      </c>
    </row>
    <row r="17" customFormat="false" ht="67.5" hidden="false" customHeight="true" outlineLevel="0" collapsed="false">
      <c r="A17" s="6" t="s">
        <v>37</v>
      </c>
      <c r="B17" s="7" t="s">
        <v>38</v>
      </c>
    </row>
    <row r="18" customFormat="false" ht="67.5" hidden="false" customHeight="true" outlineLevel="0" collapsed="false">
      <c r="A18" s="6" t="s">
        <v>39</v>
      </c>
      <c r="B18" s="6" t="s">
        <v>40</v>
      </c>
    </row>
    <row r="19" customFormat="false" ht="67.5" hidden="false" customHeight="true" outlineLevel="0" collapsed="false">
      <c r="A19" s="6" t="s">
        <v>41</v>
      </c>
      <c r="B19" s="7" t="s">
        <v>42</v>
      </c>
    </row>
    <row r="20" customFormat="false" ht="67.5" hidden="false" customHeight="true" outlineLevel="0" collapsed="false">
      <c r="A20" s="6" t="s">
        <v>43</v>
      </c>
      <c r="B20" s="7" t="s">
        <v>44</v>
      </c>
    </row>
    <row r="21" customFormat="false" ht="67.5" hidden="false" customHeight="true" outlineLevel="0" collapsed="false">
      <c r="A21" s="6" t="s">
        <v>45</v>
      </c>
      <c r="B21" s="7" t="s">
        <v>46</v>
      </c>
    </row>
    <row r="22" customFormat="false" ht="67.5" hidden="false" customHeight="true" outlineLevel="0" collapsed="false">
      <c r="A22" s="6" t="s">
        <v>47</v>
      </c>
      <c r="B22" s="7" t="s">
        <v>48</v>
      </c>
    </row>
    <row r="23" customFormat="false" ht="67.5" hidden="false" customHeight="true" outlineLevel="0" collapsed="false">
      <c r="A23" s="6" t="s">
        <v>49</v>
      </c>
      <c r="B23" s="7" t="s">
        <v>50</v>
      </c>
    </row>
    <row r="24" customFormat="false" ht="67.5" hidden="false" customHeight="true" outlineLevel="0" collapsed="false">
      <c r="A24" s="6" t="s">
        <v>51</v>
      </c>
      <c r="B24" s="7" t="s">
        <v>52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67"/>
    <col collapsed="false" customWidth="true" hidden="false" outlineLevel="0" max="2" min="2" style="0" width="13.34"/>
    <col collapsed="false" customWidth="true" hidden="false" outlineLevel="0" max="3" min="3" style="0" width="43.33"/>
    <col collapsed="false" customWidth="true" hidden="false" outlineLevel="0" max="4" min="4" style="0" width="50"/>
    <col collapsed="false" customWidth="true" hidden="false" outlineLevel="0" max="5" min="5" style="0" width="11.11"/>
    <col collapsed="false" customWidth="true" hidden="false" outlineLevel="0" max="6" min="6" style="0" width="70"/>
    <col collapsed="false" customWidth="true" hidden="false" outlineLevel="0" max="7" min="7" style="0" width="12.22"/>
    <col collapsed="false" customWidth="true" hidden="false" outlineLevel="0" max="8" min="8" style="0" width="50"/>
    <col collapsed="false" customWidth="true" hidden="false" outlineLevel="0" max="9" min="9" style="0" width="10"/>
    <col collapsed="false" customWidth="true" hidden="false" outlineLevel="0" max="10" min="10" style="0" width="22"/>
  </cols>
  <sheetData>
    <row r="2" customFormat="false" ht="20.1" hidden="false" customHeight="false" outlineLevel="0" collapsed="false">
      <c r="A2" s="3" t="s">
        <v>53</v>
      </c>
    </row>
    <row r="4" customFormat="false" ht="25.5" hidden="false" customHeight="true" outlineLevel="0" collapsed="false">
      <c r="A4" s="4" t="s">
        <v>11</v>
      </c>
      <c r="B4" s="5" t="s">
        <v>54</v>
      </c>
      <c r="C4" s="5" t="s">
        <v>12</v>
      </c>
      <c r="D4" s="5" t="s">
        <v>55</v>
      </c>
      <c r="E4" s="5" t="s">
        <v>56</v>
      </c>
      <c r="F4" s="4" t="s">
        <v>57</v>
      </c>
      <c r="G4" s="5" t="s">
        <v>58</v>
      </c>
      <c r="H4" s="5" t="s">
        <v>59</v>
      </c>
      <c r="I4" s="5" t="s">
        <v>60</v>
      </c>
      <c r="J4" s="5" t="s">
        <v>61</v>
      </c>
    </row>
    <row r="5" customFormat="false" ht="67.5" hidden="false" customHeight="true" outlineLevel="0" collapsed="false">
      <c r="A5" s="6" t="s">
        <v>13</v>
      </c>
      <c r="B5" s="7" t="s">
        <v>62</v>
      </c>
      <c r="C5" s="7" t="s">
        <v>14</v>
      </c>
      <c r="D5" s="7" t="s">
        <v>63</v>
      </c>
      <c r="E5" s="6" t="s">
        <v>64</v>
      </c>
      <c r="F5" s="8" t="s">
        <v>65</v>
      </c>
      <c r="G5" s="9" t="n">
        <v>2</v>
      </c>
      <c r="H5" s="8" t="s">
        <v>66</v>
      </c>
      <c r="I5" s="10" t="str">
        <f aca="false">IF(G5="","対象外",IF(G5=2,"正解",IF(G5=1,"部分正解","誤答")))</f>
        <v>正解</v>
      </c>
      <c r="J5" s="11" t="s">
        <v>67</v>
      </c>
    </row>
    <row r="6" customFormat="false" ht="67.5" hidden="false" customHeight="true" outlineLevel="0" collapsed="false">
      <c r="A6" s="6" t="s">
        <v>15</v>
      </c>
      <c r="B6" s="7" t="s">
        <v>62</v>
      </c>
      <c r="C6" s="7" t="s">
        <v>16</v>
      </c>
      <c r="D6" s="7" t="s">
        <v>68</v>
      </c>
      <c r="E6" s="6" t="s">
        <v>69</v>
      </c>
      <c r="F6" s="8" t="s">
        <v>70</v>
      </c>
      <c r="G6" s="9" t="n">
        <v>2</v>
      </c>
      <c r="H6" s="8" t="s">
        <v>66</v>
      </c>
      <c r="I6" s="11" t="str">
        <f aca="false">IF(G6="","対象外",IF(G6=2,"正解",IF(G6=1,"部分正解","誤答")))</f>
        <v>正解</v>
      </c>
      <c r="J6" s="11" t="s">
        <v>71</v>
      </c>
    </row>
    <row r="7" customFormat="false" ht="67.5" hidden="false" customHeight="true" outlineLevel="0" collapsed="false">
      <c r="A7" s="6" t="s">
        <v>17</v>
      </c>
      <c r="B7" s="7" t="s">
        <v>72</v>
      </c>
      <c r="C7" s="7" t="s">
        <v>18</v>
      </c>
      <c r="D7" s="7" t="s">
        <v>73</v>
      </c>
      <c r="E7" s="6" t="s">
        <v>74</v>
      </c>
      <c r="F7" s="8" t="s">
        <v>75</v>
      </c>
      <c r="G7" s="9" t="n">
        <v>2</v>
      </c>
      <c r="H7" s="8" t="s">
        <v>66</v>
      </c>
      <c r="I7" s="11" t="str">
        <f aca="false">IF(G7="","対象外",IF(G7=2,"正解",IF(G7=1,"部分正解","誤答")))</f>
        <v>正解</v>
      </c>
      <c r="J7" s="11" t="s">
        <v>76</v>
      </c>
    </row>
    <row r="8" customFormat="false" ht="67.5" hidden="false" customHeight="true" outlineLevel="0" collapsed="false">
      <c r="A8" s="6" t="s">
        <v>19</v>
      </c>
      <c r="B8" s="7" t="s">
        <v>77</v>
      </c>
      <c r="C8" s="7" t="s">
        <v>20</v>
      </c>
      <c r="D8" s="6" t="s">
        <v>78</v>
      </c>
      <c r="E8" s="6" t="s">
        <v>74</v>
      </c>
      <c r="F8" s="8" t="s">
        <v>79</v>
      </c>
      <c r="G8" s="9" t="n">
        <v>2</v>
      </c>
      <c r="H8" s="8" t="s">
        <v>66</v>
      </c>
      <c r="I8" s="11" t="str">
        <f aca="false">IF(G8="","対象外",IF(G8=2,"正解",IF(G8=1,"部分正解","誤答")))</f>
        <v>正解</v>
      </c>
      <c r="J8" s="11" t="s">
        <v>80</v>
      </c>
    </row>
    <row r="9" customFormat="false" ht="67.5" hidden="false" customHeight="true" outlineLevel="0" collapsed="false">
      <c r="A9" s="6" t="s">
        <v>21</v>
      </c>
      <c r="B9" s="7" t="s">
        <v>81</v>
      </c>
      <c r="C9" s="7" t="s">
        <v>22</v>
      </c>
      <c r="D9" s="7" t="s">
        <v>82</v>
      </c>
      <c r="E9" s="6" t="s">
        <v>83</v>
      </c>
      <c r="F9" s="8" t="s">
        <v>84</v>
      </c>
      <c r="G9" s="9" t="n">
        <v>2</v>
      </c>
      <c r="H9" s="8" t="s">
        <v>66</v>
      </c>
      <c r="I9" s="11" t="str">
        <f aca="false">IF(G9="","対象外",IF(G9=2,"正解",IF(G9=1,"部分正解","誤答")))</f>
        <v>正解</v>
      </c>
      <c r="J9" s="11" t="s">
        <v>85</v>
      </c>
    </row>
    <row r="10" customFormat="false" ht="67.5" hidden="false" customHeight="true" outlineLevel="0" collapsed="false">
      <c r="A10" s="6" t="s">
        <v>23</v>
      </c>
      <c r="B10" s="7" t="s">
        <v>72</v>
      </c>
      <c r="C10" s="7" t="s">
        <v>24</v>
      </c>
      <c r="D10" s="6" t="s">
        <v>86</v>
      </c>
      <c r="E10" s="6" t="s">
        <v>87</v>
      </c>
      <c r="F10" s="8" t="s">
        <v>88</v>
      </c>
      <c r="G10" s="9" t="n">
        <v>2</v>
      </c>
      <c r="H10" s="8" t="s">
        <v>66</v>
      </c>
      <c r="I10" s="11" t="str">
        <f aca="false">IF(G10="","対象外",IF(G10=2,"正解",IF(G10=1,"部分正解","誤答")))</f>
        <v>正解</v>
      </c>
      <c r="J10" s="11" t="s">
        <v>89</v>
      </c>
    </row>
    <row r="11" customFormat="false" ht="67.5" hidden="false" customHeight="true" outlineLevel="0" collapsed="false">
      <c r="A11" s="6" t="s">
        <v>25</v>
      </c>
      <c r="B11" s="7" t="s">
        <v>90</v>
      </c>
      <c r="C11" s="7" t="s">
        <v>26</v>
      </c>
      <c r="D11" s="7" t="s">
        <v>91</v>
      </c>
      <c r="E11" s="6" t="s">
        <v>92</v>
      </c>
      <c r="F11" s="9" t="s">
        <v>93</v>
      </c>
      <c r="G11" s="9" t="n">
        <v>2</v>
      </c>
      <c r="H11" s="8" t="s">
        <v>66</v>
      </c>
      <c r="I11" s="11" t="str">
        <f aca="false">IF(G11="","対象外",IF(G11=2,"正解",IF(G11=1,"部分正解","誤答")))</f>
        <v>正解</v>
      </c>
      <c r="J11" s="11" t="s">
        <v>94</v>
      </c>
    </row>
    <row r="12" customFormat="false" ht="67.5" hidden="false" customHeight="true" outlineLevel="0" collapsed="false">
      <c r="A12" s="6" t="s">
        <v>27</v>
      </c>
      <c r="B12" s="7" t="s">
        <v>95</v>
      </c>
      <c r="C12" s="7" t="s">
        <v>28</v>
      </c>
      <c r="D12" s="7" t="s">
        <v>96</v>
      </c>
      <c r="E12" s="6" t="s">
        <v>92</v>
      </c>
      <c r="F12" s="8" t="s">
        <v>97</v>
      </c>
      <c r="G12" s="9" t="n">
        <v>2</v>
      </c>
      <c r="H12" s="8" t="s">
        <v>66</v>
      </c>
      <c r="I12" s="11" t="str">
        <f aca="false">IF(G12="","対象外",IF(G12=2,"正解",IF(G12=1,"部分正解","誤答")))</f>
        <v>正解</v>
      </c>
      <c r="J12" s="11" t="s">
        <v>98</v>
      </c>
    </row>
    <row r="13" customFormat="false" ht="67.5" hidden="false" customHeight="true" outlineLevel="0" collapsed="false">
      <c r="A13" s="6" t="s">
        <v>29</v>
      </c>
      <c r="B13" s="7" t="s">
        <v>99</v>
      </c>
      <c r="C13" s="6" t="s">
        <v>30</v>
      </c>
      <c r="D13" s="6" t="s">
        <v>100</v>
      </c>
      <c r="E13" s="6" t="s">
        <v>101</v>
      </c>
      <c r="F13" s="9" t="s">
        <v>102</v>
      </c>
      <c r="G13" s="9" t="n">
        <v>2</v>
      </c>
      <c r="H13" s="8" t="s">
        <v>66</v>
      </c>
      <c r="I13" s="11" t="str">
        <f aca="false">IF(G13="","対象外",IF(G13=2,"正解",IF(G13=1,"部分正解","誤答")))</f>
        <v>正解</v>
      </c>
      <c r="J13" s="11" t="s">
        <v>103</v>
      </c>
    </row>
    <row r="14" customFormat="false" ht="67.5" hidden="false" customHeight="true" outlineLevel="0" collapsed="false">
      <c r="A14" s="6" t="s">
        <v>31</v>
      </c>
      <c r="B14" s="7" t="s">
        <v>77</v>
      </c>
      <c r="C14" s="6" t="s">
        <v>32</v>
      </c>
      <c r="D14" s="6" t="s">
        <v>104</v>
      </c>
      <c r="E14" s="6" t="s">
        <v>101</v>
      </c>
      <c r="F14" s="9" t="s">
        <v>105</v>
      </c>
      <c r="G14" s="9" t="n">
        <v>2</v>
      </c>
      <c r="H14" s="8" t="s">
        <v>66</v>
      </c>
      <c r="I14" s="11" t="str">
        <f aca="false">IF(G14="","対象外",IF(G14=2,"正解",IF(G14=1,"部分正解","誤答")))</f>
        <v>正解</v>
      </c>
      <c r="J14" s="11" t="s">
        <v>106</v>
      </c>
    </row>
    <row r="15" customFormat="false" ht="67.5" hidden="false" customHeight="true" outlineLevel="0" collapsed="false">
      <c r="A15" s="6" t="s">
        <v>33</v>
      </c>
      <c r="B15" s="7" t="s">
        <v>107</v>
      </c>
      <c r="C15" s="7" t="s">
        <v>34</v>
      </c>
      <c r="D15" s="6" t="s">
        <v>108</v>
      </c>
      <c r="E15" s="6" t="s">
        <v>109</v>
      </c>
      <c r="F15" s="8" t="s">
        <v>110</v>
      </c>
      <c r="G15" s="9" t="n">
        <v>2</v>
      </c>
      <c r="H15" s="8" t="s">
        <v>66</v>
      </c>
      <c r="I15" s="11" t="str">
        <f aca="false">IF(G15="","対象外",IF(G15=2,"正解",IF(G15=1,"部分正解","誤答")))</f>
        <v>正解</v>
      </c>
      <c r="J15" s="11" t="s">
        <v>111</v>
      </c>
    </row>
    <row r="16" customFormat="false" ht="67.5" hidden="false" customHeight="true" outlineLevel="0" collapsed="false">
      <c r="A16" s="6" t="s">
        <v>35</v>
      </c>
      <c r="B16" s="7" t="s">
        <v>77</v>
      </c>
      <c r="C16" s="7" t="s">
        <v>36</v>
      </c>
      <c r="D16" s="6" t="s">
        <v>112</v>
      </c>
      <c r="E16" s="6" t="s">
        <v>109</v>
      </c>
      <c r="F16" s="8" t="s">
        <v>113</v>
      </c>
      <c r="G16" s="9" t="n">
        <v>2</v>
      </c>
      <c r="H16" s="8" t="s">
        <v>66</v>
      </c>
      <c r="I16" s="11" t="str">
        <f aca="false">IF(G16="","対象外",IF(G16=2,"正解",IF(G16=1,"部分正解","誤答")))</f>
        <v>正解</v>
      </c>
      <c r="J16" s="11" t="s">
        <v>114</v>
      </c>
    </row>
    <row r="17" customFormat="false" ht="67.5" hidden="false" customHeight="true" outlineLevel="0" collapsed="false">
      <c r="A17" s="6" t="s">
        <v>37</v>
      </c>
      <c r="B17" s="7" t="s">
        <v>115</v>
      </c>
      <c r="C17" s="7" t="s">
        <v>38</v>
      </c>
      <c r="D17" s="6" t="s">
        <v>116</v>
      </c>
      <c r="E17" s="6" t="s">
        <v>117</v>
      </c>
      <c r="F17" s="9" t="s">
        <v>118</v>
      </c>
      <c r="G17" s="9" t="n">
        <v>2</v>
      </c>
      <c r="H17" s="8" t="s">
        <v>66</v>
      </c>
      <c r="I17" s="11" t="str">
        <f aca="false">IF(G17="","対象外",IF(G17=2,"正解",IF(G17=1,"部分正解","誤答")))</f>
        <v>正解</v>
      </c>
      <c r="J17" s="11" t="s">
        <v>119</v>
      </c>
    </row>
    <row r="18" customFormat="false" ht="67.5" hidden="false" customHeight="true" outlineLevel="0" collapsed="false">
      <c r="A18" s="6" t="s">
        <v>39</v>
      </c>
      <c r="B18" s="7" t="s">
        <v>72</v>
      </c>
      <c r="C18" s="6" t="s">
        <v>40</v>
      </c>
      <c r="D18" s="6" t="s">
        <v>120</v>
      </c>
      <c r="E18" s="6" t="s">
        <v>121</v>
      </c>
      <c r="F18" s="9" t="s">
        <v>122</v>
      </c>
      <c r="G18" s="9" t="n">
        <v>2</v>
      </c>
      <c r="H18" s="8" t="s">
        <v>66</v>
      </c>
      <c r="I18" s="11" t="str">
        <f aca="false">IF(G18="","対象外",IF(G18=2,"正解",IF(G18=1,"部分正解","誤答")))</f>
        <v>正解</v>
      </c>
      <c r="J18" s="11" t="s">
        <v>123</v>
      </c>
    </row>
    <row r="19" customFormat="false" ht="67.5" hidden="false" customHeight="true" outlineLevel="0" collapsed="false">
      <c r="A19" s="6" t="s">
        <v>41</v>
      </c>
      <c r="B19" s="7" t="s">
        <v>95</v>
      </c>
      <c r="C19" s="7" t="s">
        <v>42</v>
      </c>
      <c r="D19" s="7" t="s">
        <v>124</v>
      </c>
      <c r="E19" s="6" t="s">
        <v>125</v>
      </c>
      <c r="F19" s="8" t="s">
        <v>126</v>
      </c>
      <c r="G19" s="9" t="n">
        <v>2</v>
      </c>
      <c r="H19" s="8" t="s">
        <v>66</v>
      </c>
      <c r="I19" s="11" t="str">
        <f aca="false">IF(G19="","対象外",IF(G19=2,"正解",IF(G19=1,"部分正解","誤答")))</f>
        <v>正解</v>
      </c>
      <c r="J19" s="11" t="s">
        <v>127</v>
      </c>
    </row>
    <row r="20" customFormat="false" ht="67.5" hidden="false" customHeight="true" outlineLevel="0" collapsed="false">
      <c r="A20" s="6" t="s">
        <v>43</v>
      </c>
      <c r="B20" s="7" t="s">
        <v>95</v>
      </c>
      <c r="C20" s="7" t="s">
        <v>44</v>
      </c>
      <c r="D20" s="7" t="s">
        <v>128</v>
      </c>
      <c r="E20" s="6" t="s">
        <v>125</v>
      </c>
      <c r="F20" s="8" t="s">
        <v>129</v>
      </c>
      <c r="G20" s="9" t="n">
        <v>2</v>
      </c>
      <c r="H20" s="8" t="s">
        <v>66</v>
      </c>
      <c r="I20" s="11" t="str">
        <f aca="false">IF(G20="","対象外",IF(G20=2,"正解",IF(G20=1,"部分正解","誤答")))</f>
        <v>正解</v>
      </c>
      <c r="J20" s="11" t="s">
        <v>130</v>
      </c>
    </row>
    <row r="21" customFormat="false" ht="67.5" hidden="false" customHeight="true" outlineLevel="0" collapsed="false">
      <c r="A21" s="6" t="s">
        <v>45</v>
      </c>
      <c r="B21" s="7" t="s">
        <v>77</v>
      </c>
      <c r="C21" s="7" t="s">
        <v>46</v>
      </c>
      <c r="D21" s="6" t="s">
        <v>131</v>
      </c>
      <c r="E21" s="6" t="s">
        <v>132</v>
      </c>
      <c r="F21" s="8" t="s">
        <v>133</v>
      </c>
      <c r="G21" s="9" t="n">
        <v>2</v>
      </c>
      <c r="H21" s="8" t="s">
        <v>66</v>
      </c>
      <c r="I21" s="11" t="str">
        <f aca="false">IF(G21="","対象外",IF(G21=2,"正解",IF(G21=1,"部分正解","誤答")))</f>
        <v>正解</v>
      </c>
      <c r="J21" s="11" t="s">
        <v>134</v>
      </c>
    </row>
    <row r="22" customFormat="false" ht="67.5" hidden="false" customHeight="true" outlineLevel="0" collapsed="false">
      <c r="A22" s="6" t="s">
        <v>47</v>
      </c>
      <c r="B22" s="7" t="s">
        <v>135</v>
      </c>
      <c r="C22" s="7" t="s">
        <v>48</v>
      </c>
      <c r="D22" s="7" t="s">
        <v>136</v>
      </c>
      <c r="E22" s="6" t="s">
        <v>132</v>
      </c>
      <c r="F22" s="8" t="s">
        <v>137</v>
      </c>
      <c r="G22" s="9" t="n">
        <v>2</v>
      </c>
      <c r="H22" s="8" t="s">
        <v>66</v>
      </c>
      <c r="I22" s="11" t="str">
        <f aca="false">IF(G22="","対象外",IF(G22=2,"正解",IF(G22=1,"部分正解","誤答")))</f>
        <v>正解</v>
      </c>
      <c r="J22" s="11" t="s">
        <v>138</v>
      </c>
    </row>
    <row r="23" customFormat="false" ht="67.5" hidden="false" customHeight="true" outlineLevel="0" collapsed="false">
      <c r="A23" s="6" t="s">
        <v>49</v>
      </c>
      <c r="B23" s="7" t="s">
        <v>139</v>
      </c>
      <c r="C23" s="7" t="s">
        <v>50</v>
      </c>
      <c r="D23" s="7" t="s">
        <v>140</v>
      </c>
      <c r="E23" s="6" t="s">
        <v>141</v>
      </c>
      <c r="F23" s="8" t="s">
        <v>142</v>
      </c>
      <c r="G23" s="9" t="n">
        <v>2</v>
      </c>
      <c r="H23" s="8" t="s">
        <v>143</v>
      </c>
      <c r="I23" s="11" t="str">
        <f aca="false">IF(G23="","対象外",IF(G23=2,"正解",IF(G23=1,"部分正解","誤答")))</f>
        <v>正解</v>
      </c>
      <c r="J23" s="11" t="s">
        <v>144</v>
      </c>
    </row>
    <row r="24" customFormat="false" ht="67.5" hidden="false" customHeight="true" outlineLevel="0" collapsed="false">
      <c r="A24" s="6" t="s">
        <v>51</v>
      </c>
      <c r="B24" s="7" t="s">
        <v>115</v>
      </c>
      <c r="C24" s="7" t="s">
        <v>52</v>
      </c>
      <c r="D24" s="7" t="s">
        <v>145</v>
      </c>
      <c r="E24" s="6" t="s">
        <v>146</v>
      </c>
      <c r="F24" s="8" t="s">
        <v>147</v>
      </c>
      <c r="G24" s="9" t="n">
        <v>2</v>
      </c>
      <c r="H24" s="8" t="s">
        <v>66</v>
      </c>
      <c r="I24" s="11" t="str">
        <f aca="false">IF(G24="","対象外",IF(G24=2,"正解",IF(G24=1,"部分正解","誤答")))</f>
        <v>正解</v>
      </c>
      <c r="J24" s="11" t="s">
        <v>148</v>
      </c>
    </row>
    <row r="26" customFormat="false" ht="15" hidden="false" customHeight="false" outlineLevel="0" collapsed="false">
      <c r="F26" s="12" t="s">
        <v>149</v>
      </c>
      <c r="G26" s="0" t="n">
        <f aca="false">SUM(G5:G24)</f>
        <v>40</v>
      </c>
    </row>
    <row r="27" customFormat="false" ht="15" hidden="false" customHeight="false" outlineLevel="0" collapsed="false">
      <c r="F27" s="13" t="s">
        <v>150</v>
      </c>
      <c r="G27" s="0" t="n">
        <f aca="false">COUNTIF(I5:I24,"正解")</f>
        <v>20</v>
      </c>
    </row>
    <row r="28" customFormat="false" ht="15" hidden="false" customHeight="false" outlineLevel="0" collapsed="false">
      <c r="F28" s="13" t="s">
        <v>151</v>
      </c>
      <c r="G28" s="0" t="n">
        <f aca="false">COUNTIF(I5:I24,"対象外")</f>
        <v>0</v>
      </c>
    </row>
  </sheetData>
  <dataValidations count="1">
    <dataValidation allowBlank="false" errorStyle="stop" operator="between" showDropDown="false" showErrorMessage="false" showInputMessage="false" sqref="G5:G24" type="whole">
      <formula1>0</formula1>
      <formula2>2</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22"/>
    <col collapsed="false" customWidth="true" hidden="false" outlineLevel="0" max="2" min="2" style="0" width="94.44"/>
  </cols>
  <sheetData>
    <row r="2" customFormat="false" ht="20.1" hidden="false" customHeight="false" outlineLevel="0" collapsed="false">
      <c r="A2" s="3" t="s">
        <v>152</v>
      </c>
    </row>
    <row r="4" customFormat="false" ht="25.5" hidden="false" customHeight="true" outlineLevel="0" collapsed="false">
      <c r="A4" s="14" t="s">
        <v>11</v>
      </c>
      <c r="B4" s="15" t="s">
        <v>12</v>
      </c>
    </row>
    <row r="5" customFormat="false" ht="67.5" hidden="false" customHeight="true" outlineLevel="0" collapsed="false">
      <c r="A5" s="6" t="s">
        <v>153</v>
      </c>
      <c r="B5" s="7" t="s">
        <v>154</v>
      </c>
    </row>
    <row r="6" customFormat="false" ht="67.5" hidden="false" customHeight="true" outlineLevel="0" collapsed="false">
      <c r="A6" s="6" t="s">
        <v>155</v>
      </c>
      <c r="B6" s="7" t="s">
        <v>156</v>
      </c>
    </row>
    <row r="7" customFormat="false" ht="67.5" hidden="false" customHeight="true" outlineLevel="0" collapsed="false">
      <c r="A7" s="6" t="s">
        <v>157</v>
      </c>
      <c r="B7" s="7" t="s">
        <v>158</v>
      </c>
    </row>
    <row r="8" customFormat="false" ht="67.5" hidden="false" customHeight="true" outlineLevel="0" collapsed="false">
      <c r="A8" s="6" t="s">
        <v>159</v>
      </c>
      <c r="B8" s="7" t="s">
        <v>160</v>
      </c>
    </row>
    <row r="9" customFormat="false" ht="67.5" hidden="false" customHeight="true" outlineLevel="0" collapsed="false">
      <c r="A9" s="6" t="s">
        <v>161</v>
      </c>
      <c r="B9" s="7" t="s">
        <v>162</v>
      </c>
    </row>
    <row r="10" customFormat="false" ht="67.5" hidden="false" customHeight="true" outlineLevel="0" collapsed="false">
      <c r="A10" s="6" t="s">
        <v>163</v>
      </c>
      <c r="B10" s="7" t="s">
        <v>164</v>
      </c>
    </row>
    <row r="11" customFormat="false" ht="67.5" hidden="false" customHeight="true" outlineLevel="0" collapsed="false">
      <c r="A11" s="6" t="s">
        <v>165</v>
      </c>
      <c r="B11" s="6" t="s">
        <v>166</v>
      </c>
    </row>
    <row r="12" customFormat="false" ht="67.5" hidden="false" customHeight="true" outlineLevel="0" collapsed="false">
      <c r="A12" s="6" t="s">
        <v>167</v>
      </c>
      <c r="B12" s="7" t="s">
        <v>168</v>
      </c>
    </row>
    <row r="13" customFormat="false" ht="67.5" hidden="false" customHeight="true" outlineLevel="0" collapsed="false">
      <c r="A13" s="6" t="s">
        <v>169</v>
      </c>
      <c r="B13" s="7" t="s">
        <v>170</v>
      </c>
    </row>
    <row r="14" customFormat="false" ht="67.5" hidden="false" customHeight="true" outlineLevel="0" collapsed="false">
      <c r="A14" s="6" t="s">
        <v>171</v>
      </c>
      <c r="B14" s="6" t="s">
        <v>172</v>
      </c>
    </row>
    <row r="15" customFormat="false" ht="67.5" hidden="false" customHeight="true" outlineLevel="0" collapsed="false">
      <c r="A15" s="6" t="s">
        <v>173</v>
      </c>
      <c r="B15" s="7" t="s">
        <v>174</v>
      </c>
    </row>
    <row r="16" customFormat="false" ht="67.5" hidden="false" customHeight="true" outlineLevel="0" collapsed="false">
      <c r="A16" s="6" t="s">
        <v>175</v>
      </c>
      <c r="B16" s="7" t="s">
        <v>176</v>
      </c>
    </row>
    <row r="17" customFormat="false" ht="67.5" hidden="false" customHeight="true" outlineLevel="0" collapsed="false">
      <c r="A17" s="6" t="s">
        <v>177</v>
      </c>
      <c r="B17" s="7" t="s">
        <v>178</v>
      </c>
    </row>
    <row r="18" customFormat="false" ht="67.5" hidden="false" customHeight="true" outlineLevel="0" collapsed="false">
      <c r="A18" s="6" t="s">
        <v>179</v>
      </c>
      <c r="B18" s="7" t="s">
        <v>180</v>
      </c>
    </row>
    <row r="19" customFormat="false" ht="67.5" hidden="false" customHeight="true" outlineLevel="0" collapsed="false">
      <c r="A19" s="6" t="s">
        <v>181</v>
      </c>
      <c r="B19" s="7" t="s">
        <v>182</v>
      </c>
    </row>
    <row r="20" customFormat="false" ht="67.5" hidden="false" customHeight="true" outlineLevel="0" collapsed="false">
      <c r="A20" s="6" t="s">
        <v>183</v>
      </c>
      <c r="B20" s="6" t="s">
        <v>184</v>
      </c>
    </row>
    <row r="21" customFormat="false" ht="67.5" hidden="false" customHeight="true" outlineLevel="0" collapsed="false">
      <c r="A21" s="6" t="s">
        <v>185</v>
      </c>
      <c r="B21" s="7" t="s">
        <v>186</v>
      </c>
    </row>
    <row r="22" customFormat="false" ht="67.5" hidden="false" customHeight="true" outlineLevel="0" collapsed="false">
      <c r="A22" s="6" t="s">
        <v>187</v>
      </c>
      <c r="B22" s="7" t="s">
        <v>188</v>
      </c>
    </row>
    <row r="23" customFormat="false" ht="67.5" hidden="false" customHeight="true" outlineLevel="0" collapsed="false">
      <c r="A23" s="6" t="s">
        <v>189</v>
      </c>
      <c r="B23" s="6" t="s">
        <v>190</v>
      </c>
    </row>
    <row r="24" customFormat="false" ht="67.5" hidden="false" customHeight="true" outlineLevel="0" collapsed="false">
      <c r="A24" s="6" t="s">
        <v>191</v>
      </c>
      <c r="B24" s="7" t="s">
        <v>192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67"/>
    <col collapsed="false" customWidth="true" hidden="false" outlineLevel="0" max="2" min="2" style="0" width="13.34"/>
    <col collapsed="false" customWidth="true" hidden="false" outlineLevel="0" max="3" min="3" style="0" width="43.33"/>
    <col collapsed="false" customWidth="true" hidden="false" outlineLevel="0" max="4" min="4" style="0" width="50"/>
    <col collapsed="false" customWidth="true" hidden="false" outlineLevel="0" max="5" min="5" style="0" width="11.11"/>
    <col collapsed="false" customWidth="true" hidden="false" outlineLevel="0" max="6" min="6" style="0" width="70"/>
    <col collapsed="false" customWidth="true" hidden="false" outlineLevel="0" max="7" min="7" style="0" width="12.22"/>
    <col collapsed="false" customWidth="true" hidden="false" outlineLevel="0" max="8" min="8" style="0" width="50"/>
    <col collapsed="false" customWidth="true" hidden="false" outlineLevel="0" max="9" min="9" style="0" width="10"/>
    <col collapsed="false" customWidth="true" hidden="false" outlineLevel="0" max="10" min="10" style="0" width="22"/>
  </cols>
  <sheetData>
    <row r="2" customFormat="false" ht="18.55" hidden="false" customHeight="false" outlineLevel="0" collapsed="false">
      <c r="A2" s="3" t="s">
        <v>193</v>
      </c>
    </row>
    <row r="4" customFormat="false" ht="25.5" hidden="false" customHeight="true" outlineLevel="0" collapsed="false">
      <c r="A4" s="14" t="s">
        <v>11</v>
      </c>
      <c r="B4" s="15" t="s">
        <v>54</v>
      </c>
      <c r="C4" s="15" t="s">
        <v>12</v>
      </c>
      <c r="D4" s="15" t="s">
        <v>55</v>
      </c>
      <c r="E4" s="15" t="s">
        <v>56</v>
      </c>
      <c r="F4" s="14" t="s">
        <v>57</v>
      </c>
      <c r="G4" s="15" t="s">
        <v>58</v>
      </c>
      <c r="H4" s="15" t="s">
        <v>59</v>
      </c>
      <c r="I4" s="15" t="s">
        <v>60</v>
      </c>
      <c r="J4" s="15" t="s">
        <v>61</v>
      </c>
    </row>
    <row r="5" customFormat="false" ht="67.5" hidden="false" customHeight="true" outlineLevel="0" collapsed="false">
      <c r="A5" s="6" t="s">
        <v>153</v>
      </c>
      <c r="B5" s="7" t="s">
        <v>62</v>
      </c>
      <c r="C5" s="7" t="s">
        <v>154</v>
      </c>
      <c r="D5" s="6" t="s">
        <v>194</v>
      </c>
      <c r="E5" s="6" t="s">
        <v>64</v>
      </c>
      <c r="F5" s="8" t="s">
        <v>195</v>
      </c>
      <c r="G5" s="9" t="n">
        <v>2</v>
      </c>
      <c r="H5" s="8" t="s">
        <v>66</v>
      </c>
      <c r="I5" s="11" t="str">
        <f aca="false">IF(G5="","対象外",IF(G5=2,"正解",IF(G5=1,"部分正解","誤答")))</f>
        <v>正解</v>
      </c>
      <c r="J5" s="11" t="s">
        <v>196</v>
      </c>
    </row>
    <row r="6" customFormat="false" ht="67.5" hidden="false" customHeight="true" outlineLevel="0" collapsed="false">
      <c r="A6" s="6" t="s">
        <v>155</v>
      </c>
      <c r="B6" s="7" t="s">
        <v>62</v>
      </c>
      <c r="C6" s="7" t="s">
        <v>156</v>
      </c>
      <c r="D6" s="7" t="s">
        <v>197</v>
      </c>
      <c r="E6" s="6" t="s">
        <v>69</v>
      </c>
      <c r="F6" s="8" t="s">
        <v>198</v>
      </c>
      <c r="G6" s="9" t="n">
        <v>2</v>
      </c>
      <c r="H6" s="8" t="s">
        <v>66</v>
      </c>
      <c r="I6" s="11" t="str">
        <f aca="false">IF(G6="","対象外",IF(G6=2,"正解",IF(G6=1,"部分正解","誤答")))</f>
        <v>正解</v>
      </c>
      <c r="J6" s="11" t="s">
        <v>199</v>
      </c>
    </row>
    <row r="7" customFormat="false" ht="67.5" hidden="false" customHeight="true" outlineLevel="0" collapsed="false">
      <c r="A7" s="6" t="s">
        <v>157</v>
      </c>
      <c r="B7" s="7" t="s">
        <v>77</v>
      </c>
      <c r="C7" s="7" t="s">
        <v>158</v>
      </c>
      <c r="D7" s="6" t="s">
        <v>200</v>
      </c>
      <c r="E7" s="6" t="s">
        <v>69</v>
      </c>
      <c r="F7" s="8" t="s">
        <v>201</v>
      </c>
      <c r="G7" s="9" t="n">
        <v>2</v>
      </c>
      <c r="H7" s="8" t="s">
        <v>66</v>
      </c>
      <c r="I7" s="11" t="str">
        <f aca="false">IF(G7="","対象外",IF(G7=2,"正解",IF(G7=1,"部分正解","誤答")))</f>
        <v>正解</v>
      </c>
      <c r="J7" s="11" t="s">
        <v>202</v>
      </c>
    </row>
    <row r="8" customFormat="false" ht="67.5" hidden="false" customHeight="true" outlineLevel="0" collapsed="false">
      <c r="A8" s="6" t="s">
        <v>159</v>
      </c>
      <c r="B8" s="7" t="s">
        <v>72</v>
      </c>
      <c r="C8" s="7" t="s">
        <v>160</v>
      </c>
      <c r="D8" s="7" t="s">
        <v>203</v>
      </c>
      <c r="E8" s="6" t="s">
        <v>74</v>
      </c>
      <c r="F8" s="8" t="s">
        <v>204</v>
      </c>
      <c r="G8" s="9" t="n">
        <v>2</v>
      </c>
      <c r="H8" s="8" t="s">
        <v>66</v>
      </c>
      <c r="I8" s="11" t="str">
        <f aca="false">IF(G8="","対象外",IF(G8=2,"正解",IF(G8=1,"部分正解","誤答")))</f>
        <v>正解</v>
      </c>
      <c r="J8" s="11" t="s">
        <v>205</v>
      </c>
    </row>
    <row r="9" customFormat="false" ht="67.5" hidden="false" customHeight="true" outlineLevel="0" collapsed="false">
      <c r="A9" s="6" t="s">
        <v>161</v>
      </c>
      <c r="B9" s="7" t="s">
        <v>135</v>
      </c>
      <c r="C9" s="7" t="s">
        <v>162</v>
      </c>
      <c r="D9" s="7" t="s">
        <v>206</v>
      </c>
      <c r="E9" s="6" t="s">
        <v>74</v>
      </c>
      <c r="F9" s="8" t="s">
        <v>207</v>
      </c>
      <c r="G9" s="9" t="n">
        <v>2</v>
      </c>
      <c r="H9" s="8" t="s">
        <v>66</v>
      </c>
      <c r="I9" s="11" t="str">
        <f aca="false">IF(G9="","対象外",IF(G9=2,"正解",IF(G9=1,"部分正解","誤答")))</f>
        <v>正解</v>
      </c>
      <c r="J9" s="11" t="s">
        <v>208</v>
      </c>
    </row>
    <row r="10" customFormat="false" ht="67.5" hidden="false" customHeight="true" outlineLevel="0" collapsed="false">
      <c r="A10" s="6" t="s">
        <v>163</v>
      </c>
      <c r="B10" s="7" t="s">
        <v>107</v>
      </c>
      <c r="C10" s="7" t="s">
        <v>164</v>
      </c>
      <c r="D10" s="6" t="s">
        <v>209</v>
      </c>
      <c r="E10" s="6" t="s">
        <v>87</v>
      </c>
      <c r="F10" s="9" t="s">
        <v>210</v>
      </c>
      <c r="G10" s="9" t="n">
        <v>2</v>
      </c>
      <c r="H10" s="8" t="s">
        <v>66</v>
      </c>
      <c r="I10" s="11" t="str">
        <f aca="false">IF(G10="","対象外",IF(G10=2,"正解",IF(G10=1,"部分正解","誤答")))</f>
        <v>正解</v>
      </c>
      <c r="J10" s="11" t="s">
        <v>211</v>
      </c>
    </row>
    <row r="11" customFormat="false" ht="67.5" hidden="false" customHeight="true" outlineLevel="0" collapsed="false">
      <c r="A11" s="6" t="s">
        <v>165</v>
      </c>
      <c r="B11" s="7" t="s">
        <v>77</v>
      </c>
      <c r="C11" s="6" t="s">
        <v>166</v>
      </c>
      <c r="D11" s="6" t="s">
        <v>212</v>
      </c>
      <c r="E11" s="6" t="s">
        <v>87</v>
      </c>
      <c r="F11" s="9" t="s">
        <v>213</v>
      </c>
      <c r="G11" s="9" t="n">
        <v>2</v>
      </c>
      <c r="H11" s="8" t="s">
        <v>66</v>
      </c>
      <c r="I11" s="11" t="str">
        <f aca="false">IF(G11="","対象外",IF(G11=2,"正解",IF(G11=1,"部分正解","誤答")))</f>
        <v>正解</v>
      </c>
      <c r="J11" s="11" t="s">
        <v>214</v>
      </c>
    </row>
    <row r="12" customFormat="false" ht="67.5" hidden="false" customHeight="true" outlineLevel="0" collapsed="false">
      <c r="A12" s="6" t="s">
        <v>167</v>
      </c>
      <c r="B12" s="7" t="s">
        <v>72</v>
      </c>
      <c r="C12" s="7" t="s">
        <v>168</v>
      </c>
      <c r="D12" s="6" t="s">
        <v>215</v>
      </c>
      <c r="E12" s="6" t="s">
        <v>92</v>
      </c>
      <c r="F12" s="8" t="s">
        <v>216</v>
      </c>
      <c r="G12" s="9" t="n">
        <v>2</v>
      </c>
      <c r="H12" s="8" t="s">
        <v>217</v>
      </c>
      <c r="I12" s="11" t="str">
        <f aca="false">IF(G12="","対象外",IF(G12=2,"正解",IF(G12=1,"部分正解","誤答")))</f>
        <v>正解</v>
      </c>
      <c r="J12" s="11" t="s">
        <v>218</v>
      </c>
    </row>
    <row r="13" customFormat="false" ht="67.5" hidden="false" customHeight="true" outlineLevel="0" collapsed="false">
      <c r="A13" s="6" t="s">
        <v>169</v>
      </c>
      <c r="B13" s="7" t="s">
        <v>77</v>
      </c>
      <c r="C13" s="7" t="s">
        <v>170</v>
      </c>
      <c r="D13" s="6" t="s">
        <v>219</v>
      </c>
      <c r="E13" s="6" t="s">
        <v>92</v>
      </c>
      <c r="F13" s="8" t="s">
        <v>220</v>
      </c>
      <c r="G13" s="9" t="n">
        <v>2</v>
      </c>
      <c r="H13" s="8" t="s">
        <v>66</v>
      </c>
      <c r="I13" s="11" t="str">
        <f aca="false">IF(G13="","対象外",IF(G13=2,"正解",IF(G13=1,"部分正解","誤答")))</f>
        <v>正解</v>
      </c>
      <c r="J13" s="11" t="s">
        <v>221</v>
      </c>
    </row>
    <row r="14" customFormat="false" ht="67.5" hidden="false" customHeight="true" outlineLevel="0" collapsed="false">
      <c r="A14" s="6" t="s">
        <v>171</v>
      </c>
      <c r="B14" s="7" t="s">
        <v>99</v>
      </c>
      <c r="C14" s="6" t="s">
        <v>172</v>
      </c>
      <c r="D14" s="6" t="s">
        <v>222</v>
      </c>
      <c r="E14" s="6" t="s">
        <v>101</v>
      </c>
      <c r="F14" s="9" t="s">
        <v>223</v>
      </c>
      <c r="G14" s="9" t="n">
        <v>2</v>
      </c>
      <c r="H14" s="8" t="s">
        <v>66</v>
      </c>
      <c r="I14" s="11" t="str">
        <f aca="false">IF(G14="","対象外",IF(G14=2,"正解",IF(G14=1,"部分正解","誤答")))</f>
        <v>正解</v>
      </c>
      <c r="J14" s="11" t="s">
        <v>224</v>
      </c>
    </row>
    <row r="15" customFormat="false" ht="67.5" hidden="false" customHeight="true" outlineLevel="0" collapsed="false">
      <c r="A15" s="6" t="s">
        <v>173</v>
      </c>
      <c r="B15" s="7" t="s">
        <v>81</v>
      </c>
      <c r="C15" s="7" t="s">
        <v>174</v>
      </c>
      <c r="D15" s="7" t="s">
        <v>225</v>
      </c>
      <c r="E15" s="6" t="s">
        <v>101</v>
      </c>
      <c r="F15" s="8" t="s">
        <v>226</v>
      </c>
      <c r="G15" s="9" t="n">
        <v>2</v>
      </c>
      <c r="H15" s="8" t="s">
        <v>66</v>
      </c>
      <c r="I15" s="11" t="str">
        <f aca="false">IF(G15="","対象外",IF(G15=2,"正解",IF(G15=1,"部分正解","誤答")))</f>
        <v>正解</v>
      </c>
      <c r="J15" s="11" t="s">
        <v>227</v>
      </c>
    </row>
    <row r="16" customFormat="false" ht="67.5" hidden="false" customHeight="true" outlineLevel="0" collapsed="false">
      <c r="A16" s="6" t="s">
        <v>175</v>
      </c>
      <c r="B16" s="7" t="s">
        <v>77</v>
      </c>
      <c r="C16" s="7" t="s">
        <v>176</v>
      </c>
      <c r="D16" s="7" t="s">
        <v>228</v>
      </c>
      <c r="E16" s="6" t="s">
        <v>101</v>
      </c>
      <c r="F16" s="8" t="s">
        <v>229</v>
      </c>
      <c r="G16" s="9" t="n">
        <v>2</v>
      </c>
      <c r="H16" s="8" t="s">
        <v>66</v>
      </c>
      <c r="I16" s="11" t="str">
        <f aca="false">IF(G16="","対象外",IF(G16=2,"正解",IF(G16=1,"部分正解","誤答")))</f>
        <v>正解</v>
      </c>
      <c r="J16" s="11" t="s">
        <v>230</v>
      </c>
    </row>
    <row r="17" customFormat="false" ht="67.5" hidden="false" customHeight="true" outlineLevel="0" collapsed="false">
      <c r="A17" s="6" t="s">
        <v>177</v>
      </c>
      <c r="B17" s="7" t="s">
        <v>90</v>
      </c>
      <c r="C17" s="7" t="s">
        <v>178</v>
      </c>
      <c r="D17" s="6" t="s">
        <v>231</v>
      </c>
      <c r="E17" s="6" t="s">
        <v>109</v>
      </c>
      <c r="F17" s="8" t="s">
        <v>232</v>
      </c>
      <c r="G17" s="9" t="n">
        <v>2</v>
      </c>
      <c r="H17" s="8" t="s">
        <v>66</v>
      </c>
      <c r="I17" s="11" t="str">
        <f aca="false">IF(G17="","対象外",IF(G17=2,"正解",IF(G17=1,"部分正解","誤答")))</f>
        <v>正解</v>
      </c>
      <c r="J17" s="11" t="s">
        <v>233</v>
      </c>
    </row>
    <row r="18" customFormat="false" ht="67.5" hidden="false" customHeight="true" outlineLevel="0" collapsed="false">
      <c r="A18" s="6" t="s">
        <v>179</v>
      </c>
      <c r="B18" s="7" t="s">
        <v>77</v>
      </c>
      <c r="C18" s="7" t="s">
        <v>180</v>
      </c>
      <c r="D18" s="6" t="s">
        <v>234</v>
      </c>
      <c r="E18" s="6" t="s">
        <v>121</v>
      </c>
      <c r="F18" s="8" t="s">
        <v>235</v>
      </c>
      <c r="G18" s="9" t="n">
        <v>2</v>
      </c>
      <c r="H18" s="8" t="s">
        <v>66</v>
      </c>
      <c r="I18" s="11" t="str">
        <f aca="false">IF(G18="","対象外",IF(G18=2,"正解",IF(G18=1,"部分正解","誤答")))</f>
        <v>正解</v>
      </c>
      <c r="J18" s="11" t="s">
        <v>236</v>
      </c>
    </row>
    <row r="19" customFormat="false" ht="67.5" hidden="false" customHeight="true" outlineLevel="0" collapsed="false">
      <c r="A19" s="6" t="s">
        <v>181</v>
      </c>
      <c r="B19" s="7" t="s">
        <v>77</v>
      </c>
      <c r="C19" s="7" t="s">
        <v>182</v>
      </c>
      <c r="D19" s="6" t="s">
        <v>237</v>
      </c>
      <c r="E19" s="6" t="s">
        <v>121</v>
      </c>
      <c r="F19" s="9" t="s">
        <v>238</v>
      </c>
      <c r="G19" s="9" t="n">
        <v>2</v>
      </c>
      <c r="H19" s="8" t="s">
        <v>66</v>
      </c>
      <c r="I19" s="11" t="str">
        <f aca="false">IF(G19="","対象外",IF(G19=2,"正解",IF(G19=1,"部分正解","誤答")))</f>
        <v>正解</v>
      </c>
      <c r="J19" s="11" t="s">
        <v>239</v>
      </c>
    </row>
    <row r="20" customFormat="false" ht="67.5" hidden="false" customHeight="true" outlineLevel="0" collapsed="false">
      <c r="A20" s="6" t="s">
        <v>183</v>
      </c>
      <c r="B20" s="7" t="s">
        <v>115</v>
      </c>
      <c r="C20" s="6" t="s">
        <v>184</v>
      </c>
      <c r="D20" s="7" t="s">
        <v>240</v>
      </c>
      <c r="E20" s="6" t="s">
        <v>241</v>
      </c>
      <c r="F20" s="8" t="s">
        <v>242</v>
      </c>
      <c r="G20" s="9" t="n">
        <v>2</v>
      </c>
      <c r="H20" s="8" t="s">
        <v>66</v>
      </c>
      <c r="I20" s="11" t="str">
        <f aca="false">IF(G20="","対象外",IF(G20=2,"正解",IF(G20=1,"部分正解","誤答")))</f>
        <v>正解</v>
      </c>
      <c r="J20" s="11" t="s">
        <v>243</v>
      </c>
    </row>
    <row r="21" customFormat="false" ht="67.5" hidden="false" customHeight="true" outlineLevel="0" collapsed="false">
      <c r="A21" s="6" t="s">
        <v>185</v>
      </c>
      <c r="B21" s="7" t="s">
        <v>95</v>
      </c>
      <c r="C21" s="7" t="s">
        <v>186</v>
      </c>
      <c r="D21" s="7" t="s">
        <v>244</v>
      </c>
      <c r="E21" s="6" t="s">
        <v>125</v>
      </c>
      <c r="F21" s="8" t="s">
        <v>245</v>
      </c>
      <c r="G21" s="9" t="n">
        <v>2</v>
      </c>
      <c r="H21" s="8" t="s">
        <v>66</v>
      </c>
      <c r="I21" s="11" t="str">
        <f aca="false">IF(G21="","対象外",IF(G21=2,"正解",IF(G21=1,"部分正解","誤答")))</f>
        <v>正解</v>
      </c>
      <c r="J21" s="11" t="s">
        <v>246</v>
      </c>
    </row>
    <row r="22" customFormat="false" ht="67.5" hidden="false" customHeight="true" outlineLevel="0" collapsed="false">
      <c r="A22" s="6" t="s">
        <v>187</v>
      </c>
      <c r="B22" s="7" t="s">
        <v>115</v>
      </c>
      <c r="C22" s="7" t="s">
        <v>188</v>
      </c>
      <c r="D22" s="6" t="s">
        <v>247</v>
      </c>
      <c r="E22" s="6" t="s">
        <v>248</v>
      </c>
      <c r="F22" s="8" t="s">
        <v>249</v>
      </c>
      <c r="G22" s="9" t="n">
        <v>2</v>
      </c>
      <c r="H22" s="8" t="s">
        <v>250</v>
      </c>
      <c r="I22" s="11" t="str">
        <f aca="false">IF(G22="","対象外",IF(G22=2,"正解",IF(G22=1,"部分正解","誤答")))</f>
        <v>正解</v>
      </c>
      <c r="J22" s="11" t="s">
        <v>251</v>
      </c>
    </row>
    <row r="23" customFormat="false" ht="67.5" hidden="false" customHeight="true" outlineLevel="0" collapsed="false">
      <c r="A23" s="6" t="s">
        <v>189</v>
      </c>
      <c r="B23" s="7" t="s">
        <v>72</v>
      </c>
      <c r="C23" s="6" t="s">
        <v>190</v>
      </c>
      <c r="D23" s="7" t="s">
        <v>252</v>
      </c>
      <c r="E23" s="6" t="s">
        <v>141</v>
      </c>
      <c r="F23" s="8" t="s">
        <v>253</v>
      </c>
      <c r="G23" s="9" t="n">
        <v>2</v>
      </c>
      <c r="H23" s="8" t="s">
        <v>66</v>
      </c>
      <c r="I23" s="11" t="str">
        <f aca="false">IF(G23="","対象外",IF(G23=2,"正解",IF(G23=1,"部分正解","誤答")))</f>
        <v>正解</v>
      </c>
      <c r="J23" s="11" t="s">
        <v>254</v>
      </c>
    </row>
    <row r="24" customFormat="false" ht="67.5" hidden="false" customHeight="true" outlineLevel="0" collapsed="false">
      <c r="A24" s="6" t="s">
        <v>191</v>
      </c>
      <c r="B24" s="7" t="s">
        <v>139</v>
      </c>
      <c r="C24" s="7" t="s">
        <v>192</v>
      </c>
      <c r="D24" s="7" t="s">
        <v>255</v>
      </c>
      <c r="E24" s="6" t="s">
        <v>141</v>
      </c>
      <c r="F24" s="8" t="s">
        <v>256</v>
      </c>
      <c r="G24" s="9" t="n">
        <v>2</v>
      </c>
      <c r="H24" s="8" t="s">
        <v>143</v>
      </c>
      <c r="I24" s="11" t="str">
        <f aca="false">IF(G24="","対象外",IF(G24=2,"正解",IF(G24=1,"部分正解","誤答")))</f>
        <v>正解</v>
      </c>
      <c r="J24" s="11" t="s">
        <v>257</v>
      </c>
    </row>
    <row r="26" customFormat="false" ht="15" hidden="false" customHeight="false" outlineLevel="0" collapsed="false">
      <c r="F26" s="12" t="s">
        <v>149</v>
      </c>
      <c r="G26" s="0" t="n">
        <f aca="false">SUM(G5:G24)</f>
        <v>40</v>
      </c>
    </row>
    <row r="27" customFormat="false" ht="15" hidden="false" customHeight="false" outlineLevel="0" collapsed="false">
      <c r="F27" s="13" t="s">
        <v>150</v>
      </c>
      <c r="G27" s="0" t="n">
        <f aca="false">COUNTIF(I5:I24,"正解")</f>
        <v>20</v>
      </c>
    </row>
    <row r="28" customFormat="false" ht="15" hidden="false" customHeight="false" outlineLevel="0" collapsed="false">
      <c r="F28" s="13" t="s">
        <v>151</v>
      </c>
      <c r="G28" s="0" t="n">
        <f aca="false">COUNTIF(I5:I24,"対象外")</f>
        <v>0</v>
      </c>
    </row>
  </sheetData>
  <dataValidations count="1">
    <dataValidation allowBlank="false" errorStyle="stop" operator="between" showDropDown="false" showErrorMessage="false" showInputMessage="false" sqref="G5:G24" type="whole">
      <formula1>0</formula1>
      <formula2>2</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22"/>
    <col collapsed="false" customWidth="true" hidden="false" outlineLevel="0" max="2" min="2" style="0" width="94.44"/>
  </cols>
  <sheetData>
    <row r="2" customFormat="false" ht="20.1" hidden="false" customHeight="false" outlineLevel="0" collapsed="false">
      <c r="A2" s="3" t="s">
        <v>258</v>
      </c>
    </row>
    <row r="4" customFormat="false" ht="25.5" hidden="false" customHeight="true" outlineLevel="0" collapsed="false">
      <c r="A4" s="16" t="s">
        <v>11</v>
      </c>
      <c r="B4" s="17" t="s">
        <v>12</v>
      </c>
    </row>
    <row r="5" customFormat="false" ht="67.5" hidden="false" customHeight="true" outlineLevel="0" collapsed="false">
      <c r="A5" s="6" t="s">
        <v>259</v>
      </c>
      <c r="B5" s="7" t="s">
        <v>260</v>
      </c>
    </row>
    <row r="6" customFormat="false" ht="67.5" hidden="false" customHeight="true" outlineLevel="0" collapsed="false">
      <c r="A6" s="6" t="s">
        <v>261</v>
      </c>
      <c r="B6" s="7" t="s">
        <v>262</v>
      </c>
    </row>
    <row r="7" customFormat="false" ht="67.5" hidden="false" customHeight="true" outlineLevel="0" collapsed="false">
      <c r="A7" s="6" t="s">
        <v>263</v>
      </c>
      <c r="B7" s="7" t="s">
        <v>264</v>
      </c>
    </row>
    <row r="8" customFormat="false" ht="67.5" hidden="false" customHeight="true" outlineLevel="0" collapsed="false">
      <c r="A8" s="6" t="s">
        <v>265</v>
      </c>
      <c r="B8" s="7" t="s">
        <v>266</v>
      </c>
    </row>
    <row r="9" customFormat="false" ht="67.5" hidden="false" customHeight="true" outlineLevel="0" collapsed="false">
      <c r="A9" s="6" t="s">
        <v>267</v>
      </c>
      <c r="B9" s="7" t="s">
        <v>268</v>
      </c>
    </row>
    <row r="10" customFormat="false" ht="67.5" hidden="false" customHeight="true" outlineLevel="0" collapsed="false">
      <c r="A10" s="6" t="s">
        <v>269</v>
      </c>
      <c r="B10" s="7" t="s">
        <v>270</v>
      </c>
    </row>
    <row r="11" customFormat="false" ht="67.5" hidden="false" customHeight="true" outlineLevel="0" collapsed="false">
      <c r="A11" s="6" t="s">
        <v>271</v>
      </c>
      <c r="B11" s="7" t="s">
        <v>272</v>
      </c>
    </row>
    <row r="12" customFormat="false" ht="67.5" hidden="false" customHeight="true" outlineLevel="0" collapsed="false">
      <c r="A12" s="6" t="s">
        <v>273</v>
      </c>
      <c r="B12" s="7" t="s">
        <v>274</v>
      </c>
    </row>
    <row r="13" customFormat="false" ht="67.5" hidden="false" customHeight="true" outlineLevel="0" collapsed="false">
      <c r="A13" s="6" t="s">
        <v>275</v>
      </c>
      <c r="B13" s="7" t="s">
        <v>276</v>
      </c>
    </row>
    <row r="14" customFormat="false" ht="67.5" hidden="false" customHeight="true" outlineLevel="0" collapsed="false">
      <c r="A14" s="6" t="s">
        <v>277</v>
      </c>
      <c r="B14" s="7" t="s">
        <v>278</v>
      </c>
    </row>
    <row r="15" customFormat="false" ht="67.5" hidden="false" customHeight="true" outlineLevel="0" collapsed="false">
      <c r="A15" s="6" t="s">
        <v>279</v>
      </c>
      <c r="B15" s="7" t="s">
        <v>280</v>
      </c>
    </row>
    <row r="16" customFormat="false" ht="67.5" hidden="false" customHeight="true" outlineLevel="0" collapsed="false">
      <c r="A16" s="6" t="s">
        <v>281</v>
      </c>
      <c r="B16" s="7" t="s">
        <v>282</v>
      </c>
    </row>
    <row r="17" customFormat="false" ht="67.5" hidden="false" customHeight="true" outlineLevel="0" collapsed="false">
      <c r="A17" s="6" t="s">
        <v>283</v>
      </c>
      <c r="B17" s="7" t="s">
        <v>284</v>
      </c>
    </row>
    <row r="18" customFormat="false" ht="67.5" hidden="false" customHeight="true" outlineLevel="0" collapsed="false">
      <c r="A18" s="6" t="s">
        <v>285</v>
      </c>
      <c r="B18" s="7" t="s">
        <v>286</v>
      </c>
    </row>
    <row r="19" customFormat="false" ht="67.5" hidden="false" customHeight="true" outlineLevel="0" collapsed="false">
      <c r="A19" s="6" t="s">
        <v>287</v>
      </c>
      <c r="B19" s="7" t="s">
        <v>288</v>
      </c>
    </row>
    <row r="20" customFormat="false" ht="67.5" hidden="false" customHeight="true" outlineLevel="0" collapsed="false">
      <c r="A20" s="6" t="s">
        <v>289</v>
      </c>
      <c r="B20" s="7" t="s">
        <v>290</v>
      </c>
    </row>
    <row r="21" customFormat="false" ht="67.5" hidden="false" customHeight="true" outlineLevel="0" collapsed="false">
      <c r="A21" s="6" t="s">
        <v>291</v>
      </c>
      <c r="B21" s="7" t="s">
        <v>292</v>
      </c>
    </row>
    <row r="22" customFormat="false" ht="67.5" hidden="false" customHeight="true" outlineLevel="0" collapsed="false">
      <c r="A22" s="6" t="s">
        <v>293</v>
      </c>
      <c r="B22" s="7" t="s">
        <v>294</v>
      </c>
    </row>
    <row r="23" customFormat="false" ht="67.5" hidden="false" customHeight="true" outlineLevel="0" collapsed="false">
      <c r="A23" s="6" t="s">
        <v>295</v>
      </c>
      <c r="B23" s="7" t="s">
        <v>296</v>
      </c>
    </row>
    <row r="24" customFormat="false" ht="67.5" hidden="false" customHeight="true" outlineLevel="0" collapsed="false">
      <c r="A24" s="6" t="s">
        <v>297</v>
      </c>
      <c r="B24" s="7" t="s">
        <v>298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67"/>
    <col collapsed="false" customWidth="true" hidden="false" outlineLevel="0" max="2" min="2" style="0" width="13.34"/>
    <col collapsed="false" customWidth="true" hidden="false" outlineLevel="0" max="3" min="3" style="0" width="43.33"/>
    <col collapsed="false" customWidth="true" hidden="false" outlineLevel="0" max="4" min="4" style="0" width="50"/>
    <col collapsed="false" customWidth="true" hidden="false" outlineLevel="0" max="5" min="5" style="0" width="11.11"/>
    <col collapsed="false" customWidth="true" hidden="false" outlineLevel="0" max="6" min="6" style="0" width="70"/>
    <col collapsed="false" customWidth="true" hidden="false" outlineLevel="0" max="7" min="7" style="0" width="12.22"/>
    <col collapsed="false" customWidth="true" hidden="false" outlineLevel="0" max="8" min="8" style="0" width="50"/>
    <col collapsed="false" customWidth="true" hidden="false" outlineLevel="0" max="9" min="9" style="0" width="10"/>
    <col collapsed="false" customWidth="true" hidden="false" outlineLevel="0" max="10" min="10" style="0" width="22"/>
  </cols>
  <sheetData>
    <row r="2" customFormat="false" ht="18.55" hidden="false" customHeight="false" outlineLevel="0" collapsed="false">
      <c r="A2" s="3" t="s">
        <v>299</v>
      </c>
    </row>
    <row r="4" customFormat="false" ht="25.5" hidden="false" customHeight="true" outlineLevel="0" collapsed="false">
      <c r="A4" s="16" t="s">
        <v>11</v>
      </c>
      <c r="B4" s="17" t="s">
        <v>54</v>
      </c>
      <c r="C4" s="17" t="s">
        <v>12</v>
      </c>
      <c r="D4" s="17" t="s">
        <v>55</v>
      </c>
      <c r="E4" s="17" t="s">
        <v>56</v>
      </c>
      <c r="F4" s="16" t="s">
        <v>57</v>
      </c>
      <c r="G4" s="17" t="s">
        <v>58</v>
      </c>
      <c r="H4" s="17" t="s">
        <v>59</v>
      </c>
      <c r="I4" s="17" t="s">
        <v>60</v>
      </c>
      <c r="J4" s="17" t="s">
        <v>61</v>
      </c>
    </row>
    <row r="5" customFormat="false" ht="67.5" hidden="false" customHeight="true" outlineLevel="0" collapsed="false">
      <c r="A5" s="6" t="s">
        <v>259</v>
      </c>
      <c r="B5" s="7" t="s">
        <v>62</v>
      </c>
      <c r="C5" s="7" t="s">
        <v>260</v>
      </c>
      <c r="D5" s="6" t="s">
        <v>300</v>
      </c>
      <c r="E5" s="6" t="s">
        <v>64</v>
      </c>
      <c r="F5" s="9" t="s">
        <v>301</v>
      </c>
      <c r="G5" s="9" t="n">
        <v>2</v>
      </c>
      <c r="H5" s="8" t="s">
        <v>66</v>
      </c>
      <c r="I5" s="11" t="str">
        <f aca="false">IF(G5="","対象外",IF(G5=2,"正解",IF(G5=1,"部分正解","誤答")))</f>
        <v>正解</v>
      </c>
      <c r="J5" s="11" t="s">
        <v>302</v>
      </c>
    </row>
    <row r="6" customFormat="false" ht="67.5" hidden="false" customHeight="true" outlineLevel="0" collapsed="false">
      <c r="A6" s="6" t="s">
        <v>261</v>
      </c>
      <c r="B6" s="7" t="s">
        <v>77</v>
      </c>
      <c r="C6" s="7" t="s">
        <v>262</v>
      </c>
      <c r="D6" s="6" t="s">
        <v>303</v>
      </c>
      <c r="E6" s="6" t="s">
        <v>69</v>
      </c>
      <c r="F6" s="8" t="s">
        <v>304</v>
      </c>
      <c r="G6" s="9" t="n">
        <v>2</v>
      </c>
      <c r="H6" s="8" t="s">
        <v>66</v>
      </c>
      <c r="I6" s="11" t="str">
        <f aca="false">IF(G6="","対象外",IF(G6=2,"正解",IF(G6=1,"部分正解","誤答")))</f>
        <v>正解</v>
      </c>
      <c r="J6" s="11" t="s">
        <v>305</v>
      </c>
    </row>
    <row r="7" customFormat="false" ht="67.5" hidden="false" customHeight="true" outlineLevel="0" collapsed="false">
      <c r="A7" s="6" t="s">
        <v>263</v>
      </c>
      <c r="B7" s="7" t="s">
        <v>77</v>
      </c>
      <c r="C7" s="7" t="s">
        <v>264</v>
      </c>
      <c r="D7" s="6" t="s">
        <v>306</v>
      </c>
      <c r="E7" s="6" t="s">
        <v>69</v>
      </c>
      <c r="F7" s="8" t="s">
        <v>307</v>
      </c>
      <c r="G7" s="9" t="n">
        <v>2</v>
      </c>
      <c r="H7" s="8" t="s">
        <v>66</v>
      </c>
      <c r="I7" s="11" t="str">
        <f aca="false">IF(G7="","対象外",IF(G7=2,"正解",IF(G7=1,"部分正解","誤答")))</f>
        <v>正解</v>
      </c>
      <c r="J7" s="11" t="s">
        <v>308</v>
      </c>
    </row>
    <row r="8" customFormat="false" ht="67.5" hidden="false" customHeight="true" outlineLevel="0" collapsed="false">
      <c r="A8" s="6" t="s">
        <v>265</v>
      </c>
      <c r="B8" s="7" t="s">
        <v>72</v>
      </c>
      <c r="C8" s="7" t="s">
        <v>266</v>
      </c>
      <c r="D8" s="7" t="s">
        <v>309</v>
      </c>
      <c r="E8" s="6" t="s">
        <v>74</v>
      </c>
      <c r="F8" s="8" t="s">
        <v>310</v>
      </c>
      <c r="G8" s="9" t="n">
        <v>2</v>
      </c>
      <c r="H8" s="8" t="s">
        <v>66</v>
      </c>
      <c r="I8" s="11" t="str">
        <f aca="false">IF(G8="","対象外",IF(G8=2,"正解",IF(G8=1,"部分正解","誤答")))</f>
        <v>正解</v>
      </c>
      <c r="J8" s="11" t="s">
        <v>311</v>
      </c>
    </row>
    <row r="9" customFormat="false" ht="67.5" hidden="false" customHeight="true" outlineLevel="0" collapsed="false">
      <c r="A9" s="6" t="s">
        <v>267</v>
      </c>
      <c r="B9" s="7" t="s">
        <v>77</v>
      </c>
      <c r="C9" s="7" t="s">
        <v>268</v>
      </c>
      <c r="D9" s="6" t="s">
        <v>312</v>
      </c>
      <c r="E9" s="6" t="s">
        <v>74</v>
      </c>
      <c r="F9" s="8" t="s">
        <v>313</v>
      </c>
      <c r="G9" s="9" t="n">
        <v>2</v>
      </c>
      <c r="H9" s="8" t="s">
        <v>66</v>
      </c>
      <c r="I9" s="11" t="str">
        <f aca="false">IF(G9="","対象外",IF(G9=2,"正解",IF(G9=1,"部分正解","誤答")))</f>
        <v>正解</v>
      </c>
      <c r="J9" s="11" t="s">
        <v>314</v>
      </c>
    </row>
    <row r="10" customFormat="false" ht="67.5" hidden="false" customHeight="true" outlineLevel="0" collapsed="false">
      <c r="A10" s="6" t="s">
        <v>269</v>
      </c>
      <c r="B10" s="7" t="s">
        <v>107</v>
      </c>
      <c r="C10" s="7" t="s">
        <v>270</v>
      </c>
      <c r="D10" s="6" t="s">
        <v>315</v>
      </c>
      <c r="E10" s="6" t="s">
        <v>87</v>
      </c>
      <c r="F10" s="8" t="s">
        <v>316</v>
      </c>
      <c r="G10" s="9" t="n">
        <v>2</v>
      </c>
      <c r="H10" s="8" t="s">
        <v>66</v>
      </c>
      <c r="I10" s="11" t="str">
        <f aca="false">IF(G10="","対象外",IF(G10=2,"正解",IF(G10=1,"部分正解","誤答")))</f>
        <v>正解</v>
      </c>
      <c r="J10" s="11" t="s">
        <v>317</v>
      </c>
    </row>
    <row r="11" customFormat="false" ht="67.5" hidden="false" customHeight="true" outlineLevel="0" collapsed="false">
      <c r="A11" s="6" t="s">
        <v>271</v>
      </c>
      <c r="B11" s="7" t="s">
        <v>77</v>
      </c>
      <c r="C11" s="7" t="s">
        <v>272</v>
      </c>
      <c r="D11" s="6" t="s">
        <v>318</v>
      </c>
      <c r="E11" s="6" t="s">
        <v>87</v>
      </c>
      <c r="F11" s="8" t="s">
        <v>319</v>
      </c>
      <c r="G11" s="9" t="n">
        <v>2</v>
      </c>
      <c r="H11" s="8" t="s">
        <v>66</v>
      </c>
      <c r="I11" s="11" t="str">
        <f aca="false">IF(G11="","対象外",IF(G11=2,"正解",IF(G11=1,"部分正解","誤答")))</f>
        <v>正解</v>
      </c>
      <c r="J11" s="11" t="s">
        <v>320</v>
      </c>
    </row>
    <row r="12" customFormat="false" ht="67.5" hidden="false" customHeight="true" outlineLevel="0" collapsed="false">
      <c r="A12" s="6" t="s">
        <v>273</v>
      </c>
      <c r="B12" s="7" t="s">
        <v>72</v>
      </c>
      <c r="C12" s="7" t="s">
        <v>274</v>
      </c>
      <c r="D12" s="7" t="s">
        <v>321</v>
      </c>
      <c r="E12" s="6" t="s">
        <v>92</v>
      </c>
      <c r="F12" s="8" t="s">
        <v>322</v>
      </c>
      <c r="G12" s="9" t="n">
        <v>2</v>
      </c>
      <c r="H12" s="8" t="s">
        <v>66</v>
      </c>
      <c r="I12" s="11" t="str">
        <f aca="false">IF(G12="","対象外",IF(G12=2,"正解",IF(G12=1,"部分正解","誤答")))</f>
        <v>正解</v>
      </c>
      <c r="J12" s="11" t="s">
        <v>323</v>
      </c>
    </row>
    <row r="13" customFormat="false" ht="67.5" hidden="false" customHeight="true" outlineLevel="0" collapsed="false">
      <c r="A13" s="6" t="s">
        <v>275</v>
      </c>
      <c r="B13" s="7" t="s">
        <v>77</v>
      </c>
      <c r="C13" s="7" t="s">
        <v>276</v>
      </c>
      <c r="D13" s="6" t="s">
        <v>324</v>
      </c>
      <c r="E13" s="6" t="s">
        <v>92</v>
      </c>
      <c r="F13" s="8" t="s">
        <v>325</v>
      </c>
      <c r="G13" s="9" t="n">
        <v>2</v>
      </c>
      <c r="H13" s="8" t="s">
        <v>66</v>
      </c>
      <c r="I13" s="11" t="str">
        <f aca="false">IF(G13="","対象外",IF(G13=2,"正解",IF(G13=1,"部分正解","誤答")))</f>
        <v>正解</v>
      </c>
      <c r="J13" s="11" t="s">
        <v>326</v>
      </c>
    </row>
    <row r="14" customFormat="false" ht="67.5" hidden="false" customHeight="true" outlineLevel="0" collapsed="false">
      <c r="A14" s="6" t="s">
        <v>277</v>
      </c>
      <c r="B14" s="7" t="s">
        <v>77</v>
      </c>
      <c r="C14" s="7" t="s">
        <v>278</v>
      </c>
      <c r="D14" s="7" t="s">
        <v>327</v>
      </c>
      <c r="E14" s="6" t="s">
        <v>101</v>
      </c>
      <c r="F14" s="8" t="s">
        <v>328</v>
      </c>
      <c r="G14" s="9" t="n">
        <v>2</v>
      </c>
      <c r="H14" s="8" t="s">
        <v>66</v>
      </c>
      <c r="I14" s="11" t="str">
        <f aca="false">IF(G14="","対象外",IF(G14=2,"正解",IF(G14=1,"部分正解","誤答")))</f>
        <v>正解</v>
      </c>
      <c r="J14" s="11" t="s">
        <v>329</v>
      </c>
    </row>
    <row r="15" customFormat="false" ht="67.5" hidden="false" customHeight="true" outlineLevel="0" collapsed="false">
      <c r="A15" s="6" t="s">
        <v>279</v>
      </c>
      <c r="B15" s="7" t="s">
        <v>77</v>
      </c>
      <c r="C15" s="7" t="s">
        <v>280</v>
      </c>
      <c r="D15" s="7" t="s">
        <v>330</v>
      </c>
      <c r="E15" s="6" t="s">
        <v>101</v>
      </c>
      <c r="F15" s="8" t="s">
        <v>331</v>
      </c>
      <c r="G15" s="9" t="n">
        <v>2</v>
      </c>
      <c r="H15" s="8" t="s">
        <v>66</v>
      </c>
      <c r="I15" s="11" t="str">
        <f aca="false">IF(G15="","対象外",IF(G15=2,"正解",IF(G15=1,"部分正解","誤答")))</f>
        <v>正解</v>
      </c>
      <c r="J15" s="11" t="s">
        <v>332</v>
      </c>
    </row>
    <row r="16" customFormat="false" ht="67.5" hidden="false" customHeight="true" outlineLevel="0" collapsed="false">
      <c r="A16" s="6" t="s">
        <v>281</v>
      </c>
      <c r="B16" s="7" t="s">
        <v>135</v>
      </c>
      <c r="C16" s="7" t="s">
        <v>282</v>
      </c>
      <c r="D16" s="7" t="s">
        <v>333</v>
      </c>
      <c r="E16" s="6" t="s">
        <v>334</v>
      </c>
      <c r="F16" s="8" t="s">
        <v>335</v>
      </c>
      <c r="G16" s="9" t="n">
        <v>2</v>
      </c>
      <c r="H16" s="8" t="s">
        <v>66</v>
      </c>
      <c r="I16" s="11" t="str">
        <f aca="false">IF(G16="","対象外",IF(G16=2,"正解",IF(G16=1,"部分正解","誤答")))</f>
        <v>正解</v>
      </c>
      <c r="J16" s="11" t="s">
        <v>336</v>
      </c>
    </row>
    <row r="17" customFormat="false" ht="67.5" hidden="false" customHeight="true" outlineLevel="0" collapsed="false">
      <c r="A17" s="6" t="s">
        <v>283</v>
      </c>
      <c r="B17" s="7" t="s">
        <v>77</v>
      </c>
      <c r="C17" s="7" t="s">
        <v>284</v>
      </c>
      <c r="D17" s="6" t="s">
        <v>337</v>
      </c>
      <c r="E17" s="6" t="s">
        <v>109</v>
      </c>
      <c r="F17" s="8" t="s">
        <v>338</v>
      </c>
      <c r="G17" s="9" t="n">
        <v>2</v>
      </c>
      <c r="H17" s="8" t="s">
        <v>66</v>
      </c>
      <c r="I17" s="11" t="str">
        <f aca="false">IF(G17="","対象外",IF(G17=2,"正解",IF(G17=1,"部分正解","誤答")))</f>
        <v>正解</v>
      </c>
      <c r="J17" s="11" t="s">
        <v>339</v>
      </c>
    </row>
    <row r="18" customFormat="false" ht="67.5" hidden="false" customHeight="true" outlineLevel="0" collapsed="false">
      <c r="A18" s="6" t="s">
        <v>285</v>
      </c>
      <c r="B18" s="7" t="s">
        <v>81</v>
      </c>
      <c r="C18" s="7" t="s">
        <v>286</v>
      </c>
      <c r="D18" s="7" t="s">
        <v>340</v>
      </c>
      <c r="E18" s="6" t="s">
        <v>109</v>
      </c>
      <c r="F18" s="8" t="s">
        <v>341</v>
      </c>
      <c r="G18" s="9" t="n">
        <v>2</v>
      </c>
      <c r="H18" s="8" t="s">
        <v>66</v>
      </c>
      <c r="I18" s="11" t="str">
        <f aca="false">IF(G18="","対象外",IF(G18=2,"正解",IF(G18=1,"部分正解","誤答")))</f>
        <v>正解</v>
      </c>
      <c r="J18" s="11" t="s">
        <v>342</v>
      </c>
    </row>
    <row r="19" customFormat="false" ht="67.5" hidden="false" customHeight="true" outlineLevel="0" collapsed="false">
      <c r="A19" s="6" t="s">
        <v>287</v>
      </c>
      <c r="B19" s="7" t="s">
        <v>77</v>
      </c>
      <c r="C19" s="7" t="s">
        <v>288</v>
      </c>
      <c r="D19" s="6" t="s">
        <v>343</v>
      </c>
      <c r="E19" s="6" t="s">
        <v>121</v>
      </c>
      <c r="F19" s="8" t="s">
        <v>344</v>
      </c>
      <c r="G19" s="9" t="n">
        <v>2</v>
      </c>
      <c r="H19" s="8" t="s">
        <v>66</v>
      </c>
      <c r="I19" s="11" t="str">
        <f aca="false">IF(G19="","対象外",IF(G19=2,"正解",IF(G19=1,"部分正解","誤答")))</f>
        <v>正解</v>
      </c>
      <c r="J19" s="11" t="s">
        <v>345</v>
      </c>
    </row>
    <row r="20" customFormat="false" ht="67.5" hidden="false" customHeight="true" outlineLevel="0" collapsed="false">
      <c r="A20" s="6" t="s">
        <v>289</v>
      </c>
      <c r="B20" s="7" t="s">
        <v>99</v>
      </c>
      <c r="C20" s="7" t="s">
        <v>290</v>
      </c>
      <c r="D20" s="7" t="s">
        <v>346</v>
      </c>
      <c r="E20" s="6" t="s">
        <v>121</v>
      </c>
      <c r="F20" s="8" t="s">
        <v>347</v>
      </c>
      <c r="G20" s="9" t="n">
        <v>2</v>
      </c>
      <c r="H20" s="8" t="s">
        <v>66</v>
      </c>
      <c r="I20" s="11" t="str">
        <f aca="false">IF(G20="","対象外",IF(G20=2,"正解",IF(G20=1,"部分正解","誤答")))</f>
        <v>正解</v>
      </c>
      <c r="J20" s="11" t="s">
        <v>348</v>
      </c>
    </row>
    <row r="21" customFormat="false" ht="67.5" hidden="false" customHeight="true" outlineLevel="0" collapsed="false">
      <c r="A21" s="6" t="s">
        <v>291</v>
      </c>
      <c r="B21" s="7" t="s">
        <v>95</v>
      </c>
      <c r="C21" s="7" t="s">
        <v>292</v>
      </c>
      <c r="D21" s="7" t="s">
        <v>349</v>
      </c>
      <c r="E21" s="6" t="s">
        <v>146</v>
      </c>
      <c r="F21" s="8" t="s">
        <v>350</v>
      </c>
      <c r="G21" s="9" t="n">
        <v>2</v>
      </c>
      <c r="H21" s="8" t="s">
        <v>66</v>
      </c>
      <c r="I21" s="11" t="str">
        <f aca="false">IF(G21="","対象外",IF(G21=2,"正解",IF(G21=1,"部分正解","誤答")))</f>
        <v>正解</v>
      </c>
      <c r="J21" s="11" t="s">
        <v>351</v>
      </c>
    </row>
    <row r="22" customFormat="false" ht="67.5" hidden="false" customHeight="true" outlineLevel="0" collapsed="false">
      <c r="A22" s="6" t="s">
        <v>293</v>
      </c>
      <c r="B22" s="7" t="s">
        <v>72</v>
      </c>
      <c r="C22" s="7" t="s">
        <v>294</v>
      </c>
      <c r="D22" s="7" t="s">
        <v>352</v>
      </c>
      <c r="E22" s="6" t="s">
        <v>125</v>
      </c>
      <c r="F22" s="8" t="s">
        <v>353</v>
      </c>
      <c r="G22" s="9" t="n">
        <v>2</v>
      </c>
      <c r="H22" s="8" t="s">
        <v>354</v>
      </c>
      <c r="I22" s="11" t="str">
        <f aca="false">IF(G22="","対象外",IF(G22=2,"正解",IF(G22=1,"部分正解","誤答")))</f>
        <v>正解</v>
      </c>
      <c r="J22" s="11" t="s">
        <v>355</v>
      </c>
    </row>
    <row r="23" customFormat="false" ht="67.5" hidden="false" customHeight="true" outlineLevel="0" collapsed="false">
      <c r="A23" s="6" t="s">
        <v>295</v>
      </c>
      <c r="B23" s="7" t="s">
        <v>115</v>
      </c>
      <c r="C23" s="7" t="s">
        <v>296</v>
      </c>
      <c r="D23" s="7" t="s">
        <v>356</v>
      </c>
      <c r="E23" s="6" t="s">
        <v>357</v>
      </c>
      <c r="F23" s="9" t="s">
        <v>358</v>
      </c>
      <c r="G23" s="9" t="n">
        <v>2</v>
      </c>
      <c r="H23" s="8" t="s">
        <v>66</v>
      </c>
      <c r="I23" s="11" t="str">
        <f aca="false">IF(G23="","対象外",IF(G23=2,"正解",IF(G23=1,"部分正解","誤答")))</f>
        <v>正解</v>
      </c>
      <c r="J23" s="11" t="s">
        <v>359</v>
      </c>
    </row>
    <row r="24" customFormat="false" ht="67.5" hidden="false" customHeight="true" outlineLevel="0" collapsed="false">
      <c r="A24" s="6" t="s">
        <v>297</v>
      </c>
      <c r="B24" s="7" t="s">
        <v>139</v>
      </c>
      <c r="C24" s="7" t="s">
        <v>298</v>
      </c>
      <c r="D24" s="7" t="s">
        <v>360</v>
      </c>
      <c r="E24" s="6" t="s">
        <v>125</v>
      </c>
      <c r="F24" s="8" t="s">
        <v>361</v>
      </c>
      <c r="G24" s="9" t="n">
        <v>2</v>
      </c>
      <c r="H24" s="8" t="s">
        <v>143</v>
      </c>
      <c r="I24" s="11" t="str">
        <f aca="false">IF(G24="","対象外",IF(G24=2,"正解",IF(G24=1,"部分正解","誤答")))</f>
        <v>正解</v>
      </c>
      <c r="J24" s="11" t="s">
        <v>362</v>
      </c>
    </row>
    <row r="26" customFormat="false" ht="15" hidden="false" customHeight="false" outlineLevel="0" collapsed="false">
      <c r="F26" s="12" t="s">
        <v>149</v>
      </c>
      <c r="G26" s="0" t="n">
        <f aca="false">SUM(G5:G24)</f>
        <v>40</v>
      </c>
    </row>
    <row r="27" customFormat="false" ht="15" hidden="false" customHeight="false" outlineLevel="0" collapsed="false">
      <c r="F27" s="13" t="s">
        <v>150</v>
      </c>
      <c r="G27" s="0" t="n">
        <f aca="false">COUNTIF(I5:I24,"正解")</f>
        <v>20</v>
      </c>
    </row>
    <row r="28" customFormat="false" ht="15" hidden="false" customHeight="false" outlineLevel="0" collapsed="false">
      <c r="F28" s="13" t="s">
        <v>151</v>
      </c>
      <c r="G28" s="0" t="n">
        <f aca="false">COUNTIF(I5:I24,"対象外")</f>
        <v>0</v>
      </c>
    </row>
  </sheetData>
  <dataValidations count="1">
    <dataValidation allowBlank="false" errorStyle="stop" operator="between" showDropDown="false" showErrorMessage="false" showInputMessage="false" sqref="G5:G24" type="whole">
      <formula1>0</formula1>
      <formula2>2</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22"/>
    <col collapsed="false" customWidth="true" hidden="false" outlineLevel="0" max="2" min="2" style="0" width="94.44"/>
  </cols>
  <sheetData>
    <row r="2" customFormat="false" ht="20.1" hidden="false" customHeight="false" outlineLevel="0" collapsed="false">
      <c r="A2" s="3" t="s">
        <v>363</v>
      </c>
    </row>
    <row r="4" customFormat="false" ht="25.5" hidden="false" customHeight="true" outlineLevel="0" collapsed="false">
      <c r="A4" s="18" t="s">
        <v>11</v>
      </c>
      <c r="B4" s="19" t="s">
        <v>12</v>
      </c>
    </row>
    <row r="5" customFormat="false" ht="67.5" hidden="false" customHeight="true" outlineLevel="0" collapsed="false">
      <c r="A5" s="6" t="s">
        <v>364</v>
      </c>
      <c r="B5" s="7" t="s">
        <v>365</v>
      </c>
    </row>
    <row r="6" customFormat="false" ht="67.5" hidden="false" customHeight="true" outlineLevel="0" collapsed="false">
      <c r="A6" s="6" t="s">
        <v>366</v>
      </c>
      <c r="B6" s="7" t="s">
        <v>367</v>
      </c>
    </row>
    <row r="7" customFormat="false" ht="67.5" hidden="false" customHeight="true" outlineLevel="0" collapsed="false">
      <c r="A7" s="6" t="s">
        <v>368</v>
      </c>
      <c r="B7" s="6" t="s">
        <v>369</v>
      </c>
    </row>
    <row r="8" customFormat="false" ht="67.5" hidden="false" customHeight="true" outlineLevel="0" collapsed="false">
      <c r="A8" s="6" t="s">
        <v>370</v>
      </c>
      <c r="B8" s="7" t="s">
        <v>371</v>
      </c>
    </row>
    <row r="9" customFormat="false" ht="67.5" hidden="false" customHeight="true" outlineLevel="0" collapsed="false">
      <c r="A9" s="6" t="s">
        <v>372</v>
      </c>
      <c r="B9" s="7" t="s">
        <v>373</v>
      </c>
    </row>
    <row r="10" customFormat="false" ht="67.5" hidden="false" customHeight="true" outlineLevel="0" collapsed="false">
      <c r="A10" s="6" t="s">
        <v>374</v>
      </c>
      <c r="B10" s="7" t="s">
        <v>375</v>
      </c>
    </row>
    <row r="11" customFormat="false" ht="67.5" hidden="false" customHeight="true" outlineLevel="0" collapsed="false">
      <c r="A11" s="6" t="s">
        <v>376</v>
      </c>
      <c r="B11" s="6" t="s">
        <v>377</v>
      </c>
    </row>
    <row r="12" customFormat="false" ht="67.5" hidden="false" customHeight="true" outlineLevel="0" collapsed="false">
      <c r="A12" s="6" t="s">
        <v>378</v>
      </c>
      <c r="B12" s="6" t="s">
        <v>379</v>
      </c>
    </row>
    <row r="13" customFormat="false" ht="67.5" hidden="false" customHeight="true" outlineLevel="0" collapsed="false">
      <c r="A13" s="6" t="s">
        <v>380</v>
      </c>
      <c r="B13" s="7" t="s">
        <v>381</v>
      </c>
    </row>
    <row r="14" customFormat="false" ht="67.5" hidden="false" customHeight="true" outlineLevel="0" collapsed="false">
      <c r="A14" s="6" t="s">
        <v>382</v>
      </c>
      <c r="B14" s="7" t="s">
        <v>383</v>
      </c>
    </row>
    <row r="15" customFormat="false" ht="67.5" hidden="false" customHeight="true" outlineLevel="0" collapsed="false">
      <c r="A15" s="6" t="s">
        <v>384</v>
      </c>
      <c r="B15" s="7" t="s">
        <v>385</v>
      </c>
    </row>
    <row r="16" customFormat="false" ht="67.5" hidden="false" customHeight="true" outlineLevel="0" collapsed="false">
      <c r="A16" s="6" t="s">
        <v>386</v>
      </c>
      <c r="B16" s="7" t="s">
        <v>387</v>
      </c>
    </row>
    <row r="17" customFormat="false" ht="67.5" hidden="false" customHeight="true" outlineLevel="0" collapsed="false">
      <c r="A17" s="6" t="s">
        <v>388</v>
      </c>
      <c r="B17" s="7" t="s">
        <v>389</v>
      </c>
    </row>
    <row r="18" customFormat="false" ht="67.5" hidden="false" customHeight="true" outlineLevel="0" collapsed="false">
      <c r="A18" s="6" t="s">
        <v>390</v>
      </c>
      <c r="B18" s="7" t="s">
        <v>391</v>
      </c>
    </row>
    <row r="19" customFormat="false" ht="67.5" hidden="false" customHeight="true" outlineLevel="0" collapsed="false">
      <c r="A19" s="6" t="s">
        <v>392</v>
      </c>
      <c r="B19" s="7" t="s">
        <v>393</v>
      </c>
    </row>
    <row r="20" customFormat="false" ht="67.5" hidden="false" customHeight="true" outlineLevel="0" collapsed="false">
      <c r="A20" s="6" t="s">
        <v>394</v>
      </c>
      <c r="B20" s="7" t="s">
        <v>395</v>
      </c>
    </row>
    <row r="21" customFormat="false" ht="67.5" hidden="false" customHeight="true" outlineLevel="0" collapsed="false">
      <c r="A21" s="6" t="s">
        <v>396</v>
      </c>
      <c r="B21" s="7" t="s">
        <v>397</v>
      </c>
    </row>
    <row r="22" customFormat="false" ht="67.5" hidden="false" customHeight="true" outlineLevel="0" collapsed="false">
      <c r="A22" s="6" t="s">
        <v>398</v>
      </c>
      <c r="B22" s="7" t="s">
        <v>399</v>
      </c>
    </row>
    <row r="23" customFormat="false" ht="67.5" hidden="false" customHeight="true" outlineLevel="0" collapsed="false">
      <c r="A23" s="6" t="s">
        <v>400</v>
      </c>
      <c r="B23" s="7" t="s">
        <v>401</v>
      </c>
    </row>
    <row r="24" customFormat="false" ht="67.5" hidden="false" customHeight="true" outlineLevel="0" collapsed="false">
      <c r="A24" s="6" t="s">
        <v>402</v>
      </c>
      <c r="B24" s="7" t="s">
        <v>403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67"/>
    <col collapsed="false" customWidth="true" hidden="false" outlineLevel="0" max="2" min="2" style="0" width="13.34"/>
    <col collapsed="false" customWidth="true" hidden="false" outlineLevel="0" max="3" min="3" style="0" width="43.33"/>
    <col collapsed="false" customWidth="true" hidden="false" outlineLevel="0" max="4" min="4" style="0" width="50"/>
    <col collapsed="false" customWidth="true" hidden="false" outlineLevel="0" max="5" min="5" style="0" width="11.11"/>
    <col collapsed="false" customWidth="true" hidden="false" outlineLevel="0" max="6" min="6" style="0" width="70"/>
    <col collapsed="false" customWidth="true" hidden="false" outlineLevel="0" max="7" min="7" style="0" width="12.22"/>
    <col collapsed="false" customWidth="true" hidden="false" outlineLevel="0" max="8" min="8" style="0" width="50"/>
    <col collapsed="false" customWidth="true" hidden="false" outlineLevel="0" max="9" min="9" style="0" width="10"/>
    <col collapsed="false" customWidth="true" hidden="false" outlineLevel="0" max="10" min="10" style="0" width="22"/>
  </cols>
  <sheetData>
    <row r="2" customFormat="false" ht="18.55" hidden="false" customHeight="false" outlineLevel="0" collapsed="false">
      <c r="A2" s="3" t="s">
        <v>404</v>
      </c>
    </row>
    <row r="4" customFormat="false" ht="25.5" hidden="false" customHeight="true" outlineLevel="0" collapsed="false">
      <c r="A4" s="18" t="s">
        <v>11</v>
      </c>
      <c r="B4" s="19" t="s">
        <v>54</v>
      </c>
      <c r="C4" s="19" t="s">
        <v>12</v>
      </c>
      <c r="D4" s="19" t="s">
        <v>55</v>
      </c>
      <c r="E4" s="19" t="s">
        <v>56</v>
      </c>
      <c r="F4" s="18" t="s">
        <v>57</v>
      </c>
      <c r="G4" s="19" t="s">
        <v>58</v>
      </c>
      <c r="H4" s="19" t="s">
        <v>59</v>
      </c>
      <c r="I4" s="19" t="s">
        <v>60</v>
      </c>
      <c r="J4" s="19" t="s">
        <v>61</v>
      </c>
    </row>
    <row r="5" customFormat="false" ht="67.5" hidden="false" customHeight="true" outlineLevel="0" collapsed="false">
      <c r="A5" s="6" t="s">
        <v>364</v>
      </c>
      <c r="B5" s="7" t="s">
        <v>62</v>
      </c>
      <c r="C5" s="7" t="s">
        <v>365</v>
      </c>
      <c r="D5" s="7" t="s">
        <v>405</v>
      </c>
      <c r="E5" s="6" t="s">
        <v>64</v>
      </c>
      <c r="F5" s="8" t="s">
        <v>406</v>
      </c>
      <c r="G5" s="9" t="n">
        <v>2</v>
      </c>
      <c r="H5" s="8" t="s">
        <v>66</v>
      </c>
      <c r="I5" s="11" t="str">
        <f aca="false">IF(G5="","対象外",IF(G5=2,"正解",IF(G5=1,"部分正解","誤答")))</f>
        <v>正解</v>
      </c>
      <c r="J5" s="11" t="s">
        <v>407</v>
      </c>
    </row>
    <row r="6" customFormat="false" ht="67.5" hidden="false" customHeight="true" outlineLevel="0" collapsed="false">
      <c r="A6" s="6" t="s">
        <v>366</v>
      </c>
      <c r="B6" s="7" t="s">
        <v>62</v>
      </c>
      <c r="C6" s="7" t="s">
        <v>367</v>
      </c>
      <c r="D6" s="7" t="s">
        <v>408</v>
      </c>
      <c r="E6" s="6" t="s">
        <v>69</v>
      </c>
      <c r="F6" s="8" t="s">
        <v>409</v>
      </c>
      <c r="G6" s="9" t="n">
        <v>2</v>
      </c>
      <c r="H6" s="8" t="s">
        <v>66</v>
      </c>
      <c r="I6" s="11" t="str">
        <f aca="false">IF(G6="","対象外",IF(G6=2,"正解",IF(G6=1,"部分正解","誤答")))</f>
        <v>正解</v>
      </c>
      <c r="J6" s="11" t="s">
        <v>410</v>
      </c>
    </row>
    <row r="7" customFormat="false" ht="67.5" hidden="false" customHeight="true" outlineLevel="0" collapsed="false">
      <c r="A7" s="6" t="s">
        <v>368</v>
      </c>
      <c r="B7" s="7" t="s">
        <v>77</v>
      </c>
      <c r="C7" s="6" t="s">
        <v>369</v>
      </c>
      <c r="D7" s="6" t="s">
        <v>411</v>
      </c>
      <c r="E7" s="6" t="s">
        <v>69</v>
      </c>
      <c r="F7" s="9" t="s">
        <v>412</v>
      </c>
      <c r="G7" s="9" t="n">
        <v>2</v>
      </c>
      <c r="H7" s="8" t="s">
        <v>66</v>
      </c>
      <c r="I7" s="11" t="str">
        <f aca="false">IF(G7="","対象外",IF(G7=2,"正解",IF(G7=1,"部分正解","誤答")))</f>
        <v>正解</v>
      </c>
      <c r="J7" s="11" t="s">
        <v>413</v>
      </c>
    </row>
    <row r="8" customFormat="false" ht="67.5" hidden="false" customHeight="true" outlineLevel="0" collapsed="false">
      <c r="A8" s="6" t="s">
        <v>370</v>
      </c>
      <c r="B8" s="7" t="s">
        <v>72</v>
      </c>
      <c r="C8" s="7" t="s">
        <v>371</v>
      </c>
      <c r="D8" s="7" t="s">
        <v>414</v>
      </c>
      <c r="E8" s="6" t="s">
        <v>74</v>
      </c>
      <c r="F8" s="8" t="s">
        <v>415</v>
      </c>
      <c r="G8" s="9" t="n">
        <v>2</v>
      </c>
      <c r="H8" s="8" t="s">
        <v>66</v>
      </c>
      <c r="I8" s="11" t="str">
        <f aca="false">IF(G8="","対象外",IF(G8=2,"正解",IF(G8=1,"部分正解","誤答")))</f>
        <v>正解</v>
      </c>
      <c r="J8" s="11" t="s">
        <v>416</v>
      </c>
    </row>
    <row r="9" customFormat="false" ht="67.5" hidden="false" customHeight="true" outlineLevel="0" collapsed="false">
      <c r="A9" s="6" t="s">
        <v>372</v>
      </c>
      <c r="B9" s="7" t="s">
        <v>77</v>
      </c>
      <c r="C9" s="7" t="s">
        <v>373</v>
      </c>
      <c r="D9" s="6" t="s">
        <v>417</v>
      </c>
      <c r="E9" s="6" t="s">
        <v>74</v>
      </c>
      <c r="F9" s="8" t="s">
        <v>418</v>
      </c>
      <c r="G9" s="9" t="n">
        <v>2</v>
      </c>
      <c r="H9" s="8" t="s">
        <v>66</v>
      </c>
      <c r="I9" s="11" t="str">
        <f aca="false">IF(G9="","対象外",IF(G9=2,"正解",IF(G9=1,"部分正解","誤答")))</f>
        <v>正解</v>
      </c>
      <c r="J9" s="11" t="s">
        <v>419</v>
      </c>
    </row>
    <row r="10" customFormat="false" ht="67.5" hidden="false" customHeight="true" outlineLevel="0" collapsed="false">
      <c r="A10" s="6" t="s">
        <v>374</v>
      </c>
      <c r="B10" s="7" t="s">
        <v>107</v>
      </c>
      <c r="C10" s="7" t="s">
        <v>375</v>
      </c>
      <c r="D10" s="6" t="s">
        <v>420</v>
      </c>
      <c r="E10" s="6" t="s">
        <v>87</v>
      </c>
      <c r="F10" s="8" t="s">
        <v>421</v>
      </c>
      <c r="G10" s="9" t="n">
        <v>2</v>
      </c>
      <c r="H10" s="8" t="s">
        <v>66</v>
      </c>
      <c r="I10" s="11" t="str">
        <f aca="false">IF(G10="","対象外",IF(G10=2,"正解",IF(G10=1,"部分正解","誤答")))</f>
        <v>正解</v>
      </c>
      <c r="J10" s="11" t="s">
        <v>422</v>
      </c>
    </row>
    <row r="11" customFormat="false" ht="67.5" hidden="false" customHeight="true" outlineLevel="0" collapsed="false">
      <c r="A11" s="6" t="s">
        <v>376</v>
      </c>
      <c r="B11" s="7" t="s">
        <v>77</v>
      </c>
      <c r="C11" s="6" t="s">
        <v>377</v>
      </c>
      <c r="D11" s="6" t="s">
        <v>423</v>
      </c>
      <c r="E11" s="6" t="s">
        <v>87</v>
      </c>
      <c r="F11" s="9" t="s">
        <v>424</v>
      </c>
      <c r="G11" s="9" t="n">
        <v>2</v>
      </c>
      <c r="H11" s="8" t="s">
        <v>66</v>
      </c>
      <c r="I11" s="11" t="str">
        <f aca="false">IF(G11="","対象外",IF(G11=2,"正解",IF(G11=1,"部分正解","誤答")))</f>
        <v>正解</v>
      </c>
      <c r="J11" s="11" t="s">
        <v>425</v>
      </c>
    </row>
    <row r="12" customFormat="false" ht="67.5" hidden="false" customHeight="true" outlineLevel="0" collapsed="false">
      <c r="A12" s="6" t="s">
        <v>378</v>
      </c>
      <c r="B12" s="7" t="s">
        <v>77</v>
      </c>
      <c r="C12" s="6" t="s">
        <v>379</v>
      </c>
      <c r="D12" s="6" t="s">
        <v>426</v>
      </c>
      <c r="E12" s="6" t="s">
        <v>87</v>
      </c>
      <c r="F12" s="9" t="s">
        <v>427</v>
      </c>
      <c r="G12" s="9" t="n">
        <v>2</v>
      </c>
      <c r="H12" s="8" t="s">
        <v>66</v>
      </c>
      <c r="I12" s="11" t="str">
        <f aca="false">IF(G12="","対象外",IF(G12=2,"正解",IF(G12=1,"部分正解","誤答")))</f>
        <v>正解</v>
      </c>
      <c r="J12" s="11" t="s">
        <v>428</v>
      </c>
    </row>
    <row r="13" customFormat="false" ht="67.5" hidden="false" customHeight="true" outlineLevel="0" collapsed="false">
      <c r="A13" s="6" t="s">
        <v>380</v>
      </c>
      <c r="B13" s="7" t="s">
        <v>135</v>
      </c>
      <c r="C13" s="7" t="s">
        <v>381</v>
      </c>
      <c r="D13" s="7" t="s">
        <v>429</v>
      </c>
      <c r="E13" s="6" t="s">
        <v>92</v>
      </c>
      <c r="F13" s="8" t="s">
        <v>430</v>
      </c>
      <c r="G13" s="9" t="n">
        <v>2</v>
      </c>
      <c r="H13" s="8" t="s">
        <v>66</v>
      </c>
      <c r="I13" s="11" t="str">
        <f aca="false">IF(G13="","対象外",IF(G13=2,"正解",IF(G13=1,"部分正解","誤答")))</f>
        <v>正解</v>
      </c>
      <c r="J13" s="11" t="s">
        <v>431</v>
      </c>
    </row>
    <row r="14" customFormat="false" ht="67.5" hidden="false" customHeight="true" outlineLevel="0" collapsed="false">
      <c r="A14" s="6" t="s">
        <v>382</v>
      </c>
      <c r="B14" s="7" t="s">
        <v>72</v>
      </c>
      <c r="C14" s="7" t="s">
        <v>383</v>
      </c>
      <c r="D14" s="7" t="s">
        <v>432</v>
      </c>
      <c r="E14" s="6" t="s">
        <v>101</v>
      </c>
      <c r="F14" s="8" t="s">
        <v>433</v>
      </c>
      <c r="G14" s="9" t="n">
        <v>2</v>
      </c>
      <c r="H14" s="8" t="s">
        <v>66</v>
      </c>
      <c r="I14" s="11" t="str">
        <f aca="false">IF(G14="","対象外",IF(G14=2,"正解",IF(G14=1,"部分正解","誤答")))</f>
        <v>正解</v>
      </c>
      <c r="J14" s="11" t="s">
        <v>434</v>
      </c>
    </row>
    <row r="15" customFormat="false" ht="67.5" hidden="false" customHeight="true" outlineLevel="0" collapsed="false">
      <c r="A15" s="6" t="s">
        <v>384</v>
      </c>
      <c r="B15" s="7" t="s">
        <v>72</v>
      </c>
      <c r="C15" s="7" t="s">
        <v>385</v>
      </c>
      <c r="D15" s="6" t="s">
        <v>435</v>
      </c>
      <c r="E15" s="6" t="s">
        <v>109</v>
      </c>
      <c r="F15" s="8" t="s">
        <v>436</v>
      </c>
      <c r="G15" s="9" t="n">
        <v>2</v>
      </c>
      <c r="H15" s="8" t="s">
        <v>66</v>
      </c>
      <c r="I15" s="11" t="str">
        <f aca="false">IF(G15="","対象外",IF(G15=2,"正解",IF(G15=1,"部分正解","誤答")))</f>
        <v>正解</v>
      </c>
      <c r="J15" s="11" t="s">
        <v>437</v>
      </c>
    </row>
    <row r="16" customFormat="false" ht="67.5" hidden="false" customHeight="true" outlineLevel="0" collapsed="false">
      <c r="A16" s="6" t="s">
        <v>386</v>
      </c>
      <c r="B16" s="7" t="s">
        <v>95</v>
      </c>
      <c r="C16" s="7" t="s">
        <v>387</v>
      </c>
      <c r="D16" s="7" t="s">
        <v>438</v>
      </c>
      <c r="E16" s="6" t="s">
        <v>109</v>
      </c>
      <c r="F16" s="8" t="s">
        <v>439</v>
      </c>
      <c r="G16" s="9" t="n">
        <v>2</v>
      </c>
      <c r="H16" s="8" t="s">
        <v>66</v>
      </c>
      <c r="I16" s="11" t="str">
        <f aca="false">IF(G16="","対象外",IF(G16=2,"正解",IF(G16=1,"部分正解","誤答")))</f>
        <v>正解</v>
      </c>
      <c r="J16" s="11" t="s">
        <v>440</v>
      </c>
    </row>
    <row r="17" customFormat="false" ht="67.5" hidden="false" customHeight="true" outlineLevel="0" collapsed="false">
      <c r="A17" s="6" t="s">
        <v>388</v>
      </c>
      <c r="B17" s="7" t="s">
        <v>77</v>
      </c>
      <c r="C17" s="7" t="s">
        <v>389</v>
      </c>
      <c r="D17" s="6" t="s">
        <v>441</v>
      </c>
      <c r="E17" s="6" t="s">
        <v>109</v>
      </c>
      <c r="F17" s="8" t="s">
        <v>442</v>
      </c>
      <c r="G17" s="9" t="n">
        <v>2</v>
      </c>
      <c r="H17" s="8" t="s">
        <v>66</v>
      </c>
      <c r="I17" s="11" t="str">
        <f aca="false">IF(G17="","対象外",IF(G17=2,"正解",IF(G17=1,"部分正解","誤答")))</f>
        <v>正解</v>
      </c>
      <c r="J17" s="11" t="s">
        <v>443</v>
      </c>
    </row>
    <row r="18" customFormat="false" ht="67.5" hidden="false" customHeight="true" outlineLevel="0" collapsed="false">
      <c r="A18" s="6" t="s">
        <v>390</v>
      </c>
      <c r="B18" s="7" t="s">
        <v>77</v>
      </c>
      <c r="C18" s="7" t="s">
        <v>391</v>
      </c>
      <c r="D18" s="7" t="s">
        <v>444</v>
      </c>
      <c r="E18" s="6" t="s">
        <v>445</v>
      </c>
      <c r="F18" s="8" t="s">
        <v>446</v>
      </c>
      <c r="G18" s="9" t="n">
        <v>2</v>
      </c>
      <c r="H18" s="8" t="s">
        <v>66</v>
      </c>
      <c r="I18" s="11" t="str">
        <f aca="false">IF(G18="","対象外",IF(G18=2,"正解",IF(G18=1,"部分正解","誤答")))</f>
        <v>正解</v>
      </c>
      <c r="J18" s="11" t="s">
        <v>447</v>
      </c>
    </row>
    <row r="19" customFormat="false" ht="67.5" hidden="false" customHeight="true" outlineLevel="0" collapsed="false">
      <c r="A19" s="6" t="s">
        <v>392</v>
      </c>
      <c r="B19" s="7" t="s">
        <v>77</v>
      </c>
      <c r="C19" s="7" t="s">
        <v>393</v>
      </c>
      <c r="D19" s="6" t="s">
        <v>448</v>
      </c>
      <c r="E19" s="6" t="s">
        <v>121</v>
      </c>
      <c r="F19" s="8" t="s">
        <v>449</v>
      </c>
      <c r="G19" s="9" t="n">
        <v>2</v>
      </c>
      <c r="H19" s="8" t="s">
        <v>66</v>
      </c>
      <c r="I19" s="11" t="str">
        <f aca="false">IF(G19="","対象外",IF(G19=2,"正解",IF(G19=1,"部分正解","誤答")))</f>
        <v>正解</v>
      </c>
      <c r="J19" s="11" t="s">
        <v>450</v>
      </c>
    </row>
    <row r="20" customFormat="false" ht="67.5" hidden="false" customHeight="true" outlineLevel="0" collapsed="false">
      <c r="A20" s="6" t="s">
        <v>394</v>
      </c>
      <c r="B20" s="7" t="s">
        <v>77</v>
      </c>
      <c r="C20" s="7" t="s">
        <v>395</v>
      </c>
      <c r="D20" s="6" t="s">
        <v>451</v>
      </c>
      <c r="E20" s="6" t="s">
        <v>121</v>
      </c>
      <c r="F20" s="8" t="s">
        <v>452</v>
      </c>
      <c r="G20" s="9" t="n">
        <v>2</v>
      </c>
      <c r="H20" s="8" t="s">
        <v>66</v>
      </c>
      <c r="I20" s="11" t="str">
        <f aca="false">IF(G20="","対象外",IF(G20=2,"正解",IF(G20=1,"部分正解","誤答")))</f>
        <v>正解</v>
      </c>
      <c r="J20" s="11" t="s">
        <v>453</v>
      </c>
    </row>
    <row r="21" customFormat="false" ht="67.5" hidden="false" customHeight="true" outlineLevel="0" collapsed="false">
      <c r="A21" s="6" t="s">
        <v>396</v>
      </c>
      <c r="B21" s="7" t="s">
        <v>95</v>
      </c>
      <c r="C21" s="7" t="s">
        <v>397</v>
      </c>
      <c r="D21" s="7" t="s">
        <v>454</v>
      </c>
      <c r="E21" s="6" t="s">
        <v>125</v>
      </c>
      <c r="F21" s="8" t="s">
        <v>455</v>
      </c>
      <c r="G21" s="9" t="n">
        <v>2</v>
      </c>
      <c r="H21" s="8" t="s">
        <v>66</v>
      </c>
      <c r="I21" s="11" t="str">
        <f aca="false">IF(G21="","対象外",IF(G21=2,"正解",IF(G21=1,"部分正解","誤答")))</f>
        <v>正解</v>
      </c>
      <c r="J21" s="11" t="s">
        <v>456</v>
      </c>
    </row>
    <row r="22" customFormat="false" ht="67.5" hidden="false" customHeight="true" outlineLevel="0" collapsed="false">
      <c r="A22" s="6" t="s">
        <v>398</v>
      </c>
      <c r="B22" s="7" t="s">
        <v>115</v>
      </c>
      <c r="C22" s="7" t="s">
        <v>399</v>
      </c>
      <c r="D22" s="7" t="s">
        <v>457</v>
      </c>
      <c r="E22" s="6" t="s">
        <v>458</v>
      </c>
      <c r="F22" s="8" t="s">
        <v>459</v>
      </c>
      <c r="G22" s="9" t="n">
        <v>2</v>
      </c>
      <c r="H22" s="8" t="s">
        <v>66</v>
      </c>
      <c r="I22" s="11" t="str">
        <f aca="false">IF(G22="","対象外",IF(G22=2,"正解",IF(G22=1,"部分正解","誤答")))</f>
        <v>正解</v>
      </c>
      <c r="J22" s="11" t="s">
        <v>460</v>
      </c>
    </row>
    <row r="23" customFormat="false" ht="67.5" hidden="false" customHeight="true" outlineLevel="0" collapsed="false">
      <c r="A23" s="6" t="s">
        <v>400</v>
      </c>
      <c r="B23" s="7" t="s">
        <v>139</v>
      </c>
      <c r="C23" s="7" t="s">
        <v>401</v>
      </c>
      <c r="D23" s="7" t="s">
        <v>461</v>
      </c>
      <c r="E23" s="6" t="s">
        <v>109</v>
      </c>
      <c r="F23" s="8" t="s">
        <v>462</v>
      </c>
      <c r="G23" s="9" t="n">
        <v>2</v>
      </c>
      <c r="H23" s="8" t="s">
        <v>143</v>
      </c>
      <c r="I23" s="11" t="str">
        <f aca="false">IF(G23="","対象外",IF(G23=2,"正解",IF(G23=1,"部分正解","誤答")))</f>
        <v>正解</v>
      </c>
      <c r="J23" s="11" t="s">
        <v>463</v>
      </c>
    </row>
    <row r="24" customFormat="false" ht="67.5" hidden="false" customHeight="true" outlineLevel="0" collapsed="false">
      <c r="A24" s="6" t="s">
        <v>402</v>
      </c>
      <c r="B24" s="7" t="s">
        <v>115</v>
      </c>
      <c r="C24" s="7" t="s">
        <v>403</v>
      </c>
      <c r="D24" s="7" t="s">
        <v>464</v>
      </c>
      <c r="E24" s="6" t="s">
        <v>357</v>
      </c>
      <c r="F24" s="8" t="s">
        <v>465</v>
      </c>
      <c r="G24" s="9" t="n">
        <v>2</v>
      </c>
      <c r="H24" s="8" t="s">
        <v>66</v>
      </c>
      <c r="I24" s="11" t="str">
        <f aca="false">IF(G24="","対象外",IF(G24=2,"正解",IF(G24=1,"部分正解","誤答")))</f>
        <v>正解</v>
      </c>
      <c r="J24" s="11" t="s">
        <v>466</v>
      </c>
    </row>
    <row r="26" customFormat="false" ht="15" hidden="false" customHeight="false" outlineLevel="0" collapsed="false">
      <c r="F26" s="12" t="s">
        <v>149</v>
      </c>
      <c r="G26" s="0" t="n">
        <f aca="false">SUM(G5:G24)</f>
        <v>40</v>
      </c>
    </row>
    <row r="27" customFormat="false" ht="15" hidden="false" customHeight="false" outlineLevel="0" collapsed="false">
      <c r="F27" s="13" t="s">
        <v>150</v>
      </c>
      <c r="G27" s="0" t="n">
        <f aca="false">COUNTIF(I5:I24,"正解")</f>
        <v>20</v>
      </c>
    </row>
    <row r="28" customFormat="false" ht="15" hidden="false" customHeight="false" outlineLevel="0" collapsed="false">
      <c r="F28" s="13" t="s">
        <v>151</v>
      </c>
      <c r="G28" s="0" t="n">
        <f aca="false">COUNTIF(I5:I24,"対象外")</f>
        <v>0</v>
      </c>
    </row>
  </sheetData>
  <dataValidations count="1">
    <dataValidation allowBlank="false" errorStyle="stop" operator="between" showDropDown="false" showErrorMessage="false" showInputMessage="false" sqref="G5:G24" type="whole">
      <formula1>0</formula1>
      <formula2>2</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22"/>
    <col collapsed="false" customWidth="true" hidden="false" outlineLevel="0" max="2" min="2" style="0" width="94.44"/>
  </cols>
  <sheetData>
    <row r="2" customFormat="false" ht="20.1" hidden="false" customHeight="false" outlineLevel="0" collapsed="false">
      <c r="A2" s="3" t="s">
        <v>467</v>
      </c>
    </row>
    <row r="4" customFormat="false" ht="25.5" hidden="false" customHeight="true" outlineLevel="0" collapsed="false">
      <c r="A4" s="20" t="s">
        <v>11</v>
      </c>
      <c r="B4" s="21" t="s">
        <v>12</v>
      </c>
    </row>
    <row r="5" customFormat="false" ht="67.5" hidden="false" customHeight="true" outlineLevel="0" collapsed="false">
      <c r="A5" s="6" t="s">
        <v>468</v>
      </c>
      <c r="B5" s="7" t="s">
        <v>469</v>
      </c>
    </row>
    <row r="6" customFormat="false" ht="67.5" hidden="false" customHeight="true" outlineLevel="0" collapsed="false">
      <c r="A6" s="6" t="s">
        <v>470</v>
      </c>
      <c r="B6" s="7" t="s">
        <v>471</v>
      </c>
    </row>
    <row r="7" customFormat="false" ht="67.5" hidden="false" customHeight="true" outlineLevel="0" collapsed="false">
      <c r="A7" s="6" t="s">
        <v>472</v>
      </c>
      <c r="B7" s="7" t="s">
        <v>473</v>
      </c>
    </row>
    <row r="8" customFormat="false" ht="67.5" hidden="false" customHeight="true" outlineLevel="0" collapsed="false">
      <c r="A8" s="6" t="s">
        <v>474</v>
      </c>
      <c r="B8" s="7" t="s">
        <v>475</v>
      </c>
    </row>
    <row r="9" customFormat="false" ht="67.5" hidden="false" customHeight="true" outlineLevel="0" collapsed="false">
      <c r="A9" s="6" t="s">
        <v>476</v>
      </c>
      <c r="B9" s="7" t="s">
        <v>477</v>
      </c>
    </row>
    <row r="10" customFormat="false" ht="67.5" hidden="false" customHeight="true" outlineLevel="0" collapsed="false">
      <c r="A10" s="6" t="s">
        <v>478</v>
      </c>
      <c r="B10" s="7" t="s">
        <v>479</v>
      </c>
    </row>
    <row r="11" customFormat="false" ht="67.5" hidden="false" customHeight="true" outlineLevel="0" collapsed="false">
      <c r="A11" s="6" t="s">
        <v>480</v>
      </c>
      <c r="B11" s="7" t="s">
        <v>481</v>
      </c>
    </row>
    <row r="12" customFormat="false" ht="67.5" hidden="false" customHeight="true" outlineLevel="0" collapsed="false">
      <c r="A12" s="6" t="s">
        <v>482</v>
      </c>
      <c r="B12" s="7" t="s">
        <v>483</v>
      </c>
    </row>
    <row r="13" customFormat="false" ht="67.5" hidden="false" customHeight="true" outlineLevel="0" collapsed="false">
      <c r="A13" s="6" t="s">
        <v>484</v>
      </c>
      <c r="B13" s="7" t="s">
        <v>485</v>
      </c>
    </row>
    <row r="14" customFormat="false" ht="67.5" hidden="false" customHeight="true" outlineLevel="0" collapsed="false">
      <c r="A14" s="6" t="s">
        <v>486</v>
      </c>
      <c r="B14" s="7" t="s">
        <v>487</v>
      </c>
    </row>
    <row r="15" customFormat="false" ht="67.5" hidden="false" customHeight="true" outlineLevel="0" collapsed="false">
      <c r="A15" s="6" t="s">
        <v>488</v>
      </c>
      <c r="B15" s="7" t="s">
        <v>489</v>
      </c>
    </row>
    <row r="16" customFormat="false" ht="67.5" hidden="false" customHeight="true" outlineLevel="0" collapsed="false">
      <c r="A16" s="6" t="s">
        <v>490</v>
      </c>
      <c r="B16" s="6" t="s">
        <v>491</v>
      </c>
    </row>
    <row r="17" customFormat="false" ht="67.5" hidden="false" customHeight="true" outlineLevel="0" collapsed="false">
      <c r="A17" s="6" t="s">
        <v>492</v>
      </c>
      <c r="B17" s="7" t="s">
        <v>493</v>
      </c>
    </row>
    <row r="18" customFormat="false" ht="67.5" hidden="false" customHeight="true" outlineLevel="0" collapsed="false">
      <c r="A18" s="6" t="s">
        <v>494</v>
      </c>
      <c r="B18" s="7" t="s">
        <v>495</v>
      </c>
    </row>
    <row r="19" customFormat="false" ht="67.5" hidden="false" customHeight="true" outlineLevel="0" collapsed="false">
      <c r="A19" s="6" t="s">
        <v>496</v>
      </c>
      <c r="B19" s="6" t="s">
        <v>497</v>
      </c>
    </row>
    <row r="20" customFormat="false" ht="67.5" hidden="false" customHeight="true" outlineLevel="0" collapsed="false">
      <c r="A20" s="6" t="s">
        <v>498</v>
      </c>
      <c r="B20" s="7" t="s">
        <v>499</v>
      </c>
    </row>
    <row r="21" customFormat="false" ht="67.5" hidden="false" customHeight="true" outlineLevel="0" collapsed="false">
      <c r="A21" s="6" t="s">
        <v>500</v>
      </c>
      <c r="B21" s="7" t="s">
        <v>501</v>
      </c>
    </row>
    <row r="22" customFormat="false" ht="67.5" hidden="false" customHeight="true" outlineLevel="0" collapsed="false">
      <c r="A22" s="6" t="s">
        <v>502</v>
      </c>
      <c r="B22" s="7" t="s">
        <v>503</v>
      </c>
    </row>
    <row r="23" customFormat="false" ht="67.5" hidden="false" customHeight="true" outlineLevel="0" collapsed="false">
      <c r="A23" s="6" t="s">
        <v>504</v>
      </c>
      <c r="B23" s="7" t="s">
        <v>505</v>
      </c>
    </row>
    <row r="24" customFormat="false" ht="67.5" hidden="false" customHeight="true" outlineLevel="0" collapsed="false">
      <c r="A24" s="6" t="s">
        <v>506</v>
      </c>
      <c r="B24" s="7" t="s">
        <v>507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67"/>
    <col collapsed="false" customWidth="true" hidden="false" outlineLevel="0" max="2" min="2" style="0" width="13.34"/>
    <col collapsed="false" customWidth="true" hidden="false" outlineLevel="0" max="3" min="3" style="0" width="43.33"/>
    <col collapsed="false" customWidth="true" hidden="false" outlineLevel="0" max="4" min="4" style="0" width="50"/>
    <col collapsed="false" customWidth="true" hidden="false" outlineLevel="0" max="5" min="5" style="0" width="11.11"/>
    <col collapsed="false" customWidth="true" hidden="false" outlineLevel="0" max="6" min="6" style="0" width="70"/>
    <col collapsed="false" customWidth="true" hidden="false" outlineLevel="0" max="7" min="7" style="0" width="12.22"/>
    <col collapsed="false" customWidth="true" hidden="false" outlineLevel="0" max="8" min="8" style="0" width="50"/>
    <col collapsed="false" customWidth="true" hidden="false" outlineLevel="0" max="9" min="9" style="0" width="10"/>
    <col collapsed="false" customWidth="true" hidden="false" outlineLevel="0" max="10" min="10" style="0" width="22"/>
  </cols>
  <sheetData>
    <row r="2" customFormat="false" ht="18.55" hidden="false" customHeight="false" outlineLevel="0" collapsed="false">
      <c r="A2" s="3" t="s">
        <v>508</v>
      </c>
    </row>
    <row r="4" customFormat="false" ht="25.5" hidden="false" customHeight="true" outlineLevel="0" collapsed="false">
      <c r="A4" s="20" t="s">
        <v>11</v>
      </c>
      <c r="B4" s="21" t="s">
        <v>54</v>
      </c>
      <c r="C4" s="21" t="s">
        <v>12</v>
      </c>
      <c r="D4" s="21" t="s">
        <v>55</v>
      </c>
      <c r="E4" s="21" t="s">
        <v>56</v>
      </c>
      <c r="F4" s="20" t="s">
        <v>57</v>
      </c>
      <c r="G4" s="21" t="s">
        <v>58</v>
      </c>
      <c r="H4" s="21" t="s">
        <v>59</v>
      </c>
      <c r="I4" s="21" t="s">
        <v>60</v>
      </c>
      <c r="J4" s="21" t="s">
        <v>61</v>
      </c>
    </row>
    <row r="5" customFormat="false" ht="67.5" hidden="false" customHeight="true" outlineLevel="0" collapsed="false">
      <c r="A5" s="6" t="s">
        <v>468</v>
      </c>
      <c r="B5" s="7" t="s">
        <v>62</v>
      </c>
      <c r="C5" s="7" t="s">
        <v>469</v>
      </c>
      <c r="D5" s="7" t="s">
        <v>509</v>
      </c>
      <c r="E5" s="6" t="s">
        <v>64</v>
      </c>
      <c r="F5" s="8" t="s">
        <v>510</v>
      </c>
      <c r="G5" s="9" t="n">
        <v>2</v>
      </c>
      <c r="H5" s="8" t="s">
        <v>66</v>
      </c>
      <c r="I5" s="11" t="str">
        <f aca="false">IF(G5="","対象外",IF(G5=2,"正解",IF(G5=1,"部分正解","誤答")))</f>
        <v>正解</v>
      </c>
      <c r="J5" s="11" t="s">
        <v>511</v>
      </c>
    </row>
    <row r="6" customFormat="false" ht="67.5" hidden="false" customHeight="true" outlineLevel="0" collapsed="false">
      <c r="A6" s="6" t="s">
        <v>470</v>
      </c>
      <c r="B6" s="7" t="s">
        <v>81</v>
      </c>
      <c r="C6" s="7" t="s">
        <v>471</v>
      </c>
      <c r="D6" s="7" t="s">
        <v>512</v>
      </c>
      <c r="E6" s="6" t="s">
        <v>69</v>
      </c>
      <c r="F6" s="8" t="s">
        <v>513</v>
      </c>
      <c r="G6" s="9" t="n">
        <v>2</v>
      </c>
      <c r="H6" s="8" t="s">
        <v>66</v>
      </c>
      <c r="I6" s="11" t="str">
        <f aca="false">IF(G6="","対象外",IF(G6=2,"正解",IF(G6=1,"部分正解","誤答")))</f>
        <v>正解</v>
      </c>
      <c r="J6" s="11" t="s">
        <v>514</v>
      </c>
    </row>
    <row r="7" customFormat="false" ht="67.5" hidden="false" customHeight="true" outlineLevel="0" collapsed="false">
      <c r="A7" s="6" t="s">
        <v>472</v>
      </c>
      <c r="B7" s="7" t="s">
        <v>72</v>
      </c>
      <c r="C7" s="7" t="s">
        <v>473</v>
      </c>
      <c r="D7" s="6" t="s">
        <v>515</v>
      </c>
      <c r="E7" s="6" t="s">
        <v>74</v>
      </c>
      <c r="F7" s="8" t="s">
        <v>516</v>
      </c>
      <c r="G7" s="9" t="n">
        <v>2</v>
      </c>
      <c r="H7" s="8" t="s">
        <v>66</v>
      </c>
      <c r="I7" s="11" t="str">
        <f aca="false">IF(G7="","対象外",IF(G7=2,"正解",IF(G7=1,"部分正解","誤答")))</f>
        <v>正解</v>
      </c>
      <c r="J7" s="11" t="s">
        <v>517</v>
      </c>
    </row>
    <row r="8" customFormat="false" ht="67.5" hidden="false" customHeight="true" outlineLevel="0" collapsed="false">
      <c r="A8" s="6" t="s">
        <v>474</v>
      </c>
      <c r="B8" s="7" t="s">
        <v>99</v>
      </c>
      <c r="C8" s="7" t="s">
        <v>475</v>
      </c>
      <c r="D8" s="7" t="s">
        <v>518</v>
      </c>
      <c r="E8" s="6" t="s">
        <v>74</v>
      </c>
      <c r="F8" s="8" t="s">
        <v>519</v>
      </c>
      <c r="G8" s="9" t="n">
        <v>2</v>
      </c>
      <c r="H8" s="8" t="s">
        <v>66</v>
      </c>
      <c r="I8" s="11" t="str">
        <f aca="false">IF(G8="","対象外",IF(G8=2,"正解",IF(G8=1,"部分正解","誤答")))</f>
        <v>正解</v>
      </c>
      <c r="J8" s="11" t="s">
        <v>520</v>
      </c>
    </row>
    <row r="9" customFormat="false" ht="67.5" hidden="false" customHeight="true" outlineLevel="0" collapsed="false">
      <c r="A9" s="6" t="s">
        <v>476</v>
      </c>
      <c r="B9" s="7" t="s">
        <v>72</v>
      </c>
      <c r="C9" s="7" t="s">
        <v>477</v>
      </c>
      <c r="D9" s="7" t="s">
        <v>521</v>
      </c>
      <c r="E9" s="6" t="s">
        <v>87</v>
      </c>
      <c r="F9" s="8" t="s">
        <v>522</v>
      </c>
      <c r="G9" s="9" t="n">
        <v>2</v>
      </c>
      <c r="H9" s="8" t="s">
        <v>523</v>
      </c>
      <c r="I9" s="11" t="str">
        <f aca="false">IF(G9="","対象外",IF(G9=2,"正解",IF(G9=1,"部分正解","誤答")))</f>
        <v>正解</v>
      </c>
      <c r="J9" s="11" t="s">
        <v>524</v>
      </c>
    </row>
    <row r="10" customFormat="false" ht="67.5" hidden="false" customHeight="true" outlineLevel="0" collapsed="false">
      <c r="A10" s="6" t="s">
        <v>478</v>
      </c>
      <c r="B10" s="7" t="s">
        <v>90</v>
      </c>
      <c r="C10" s="7" t="s">
        <v>479</v>
      </c>
      <c r="D10" s="7" t="s">
        <v>525</v>
      </c>
      <c r="E10" s="6" t="s">
        <v>87</v>
      </c>
      <c r="F10" s="8" t="s">
        <v>526</v>
      </c>
      <c r="G10" s="9" t="n">
        <v>2</v>
      </c>
      <c r="H10" s="8" t="s">
        <v>66</v>
      </c>
      <c r="I10" s="11" t="str">
        <f aca="false">IF(G10="","対象外",IF(G10=2,"正解",IF(G10=1,"部分正解","誤答")))</f>
        <v>正解</v>
      </c>
      <c r="J10" s="11" t="s">
        <v>527</v>
      </c>
    </row>
    <row r="11" customFormat="false" ht="67.5" hidden="false" customHeight="true" outlineLevel="0" collapsed="false">
      <c r="A11" s="6" t="s">
        <v>480</v>
      </c>
      <c r="B11" s="7" t="s">
        <v>99</v>
      </c>
      <c r="C11" s="7" t="s">
        <v>481</v>
      </c>
      <c r="D11" s="7" t="s">
        <v>528</v>
      </c>
      <c r="E11" s="6" t="s">
        <v>92</v>
      </c>
      <c r="F11" s="8" t="s">
        <v>529</v>
      </c>
      <c r="G11" s="9" t="n">
        <v>2</v>
      </c>
      <c r="H11" s="8" t="s">
        <v>66</v>
      </c>
      <c r="I11" s="11" t="str">
        <f aca="false">IF(G11="","対象外",IF(G11=2,"正解",IF(G11=1,"部分正解","誤答")))</f>
        <v>正解</v>
      </c>
      <c r="J11" s="11" t="s">
        <v>530</v>
      </c>
    </row>
    <row r="12" customFormat="false" ht="67.5" hidden="false" customHeight="true" outlineLevel="0" collapsed="false">
      <c r="A12" s="6" t="s">
        <v>482</v>
      </c>
      <c r="B12" s="7" t="s">
        <v>77</v>
      </c>
      <c r="C12" s="7" t="s">
        <v>483</v>
      </c>
      <c r="D12" s="6" t="s">
        <v>531</v>
      </c>
      <c r="E12" s="6" t="s">
        <v>92</v>
      </c>
      <c r="F12" s="8" t="s">
        <v>532</v>
      </c>
      <c r="G12" s="9" t="n">
        <v>2</v>
      </c>
      <c r="H12" s="8" t="s">
        <v>66</v>
      </c>
      <c r="I12" s="11" t="str">
        <f aca="false">IF(G12="","対象外",IF(G12=2,"正解",IF(G12=1,"部分正解","誤答")))</f>
        <v>正解</v>
      </c>
      <c r="J12" s="11" t="s">
        <v>533</v>
      </c>
    </row>
    <row r="13" customFormat="false" ht="67.5" hidden="false" customHeight="true" outlineLevel="0" collapsed="false">
      <c r="A13" s="6" t="s">
        <v>484</v>
      </c>
      <c r="B13" s="7" t="s">
        <v>77</v>
      </c>
      <c r="C13" s="7" t="s">
        <v>485</v>
      </c>
      <c r="D13" s="6" t="s">
        <v>534</v>
      </c>
      <c r="E13" s="6" t="s">
        <v>92</v>
      </c>
      <c r="F13" s="9" t="s">
        <v>535</v>
      </c>
      <c r="G13" s="9" t="n">
        <v>2</v>
      </c>
      <c r="H13" s="8" t="s">
        <v>66</v>
      </c>
      <c r="I13" s="11" t="str">
        <f aca="false">IF(G13="","対象外",IF(G13=2,"正解",IF(G13=1,"部分正解","誤答")))</f>
        <v>正解</v>
      </c>
      <c r="J13" s="11" t="s">
        <v>536</v>
      </c>
    </row>
    <row r="14" customFormat="false" ht="67.5" hidden="false" customHeight="true" outlineLevel="0" collapsed="false">
      <c r="A14" s="6" t="s">
        <v>486</v>
      </c>
      <c r="B14" s="7" t="s">
        <v>107</v>
      </c>
      <c r="C14" s="7" t="s">
        <v>487</v>
      </c>
      <c r="D14" s="6" t="s">
        <v>537</v>
      </c>
      <c r="E14" s="6" t="s">
        <v>101</v>
      </c>
      <c r="F14" s="8" t="s">
        <v>538</v>
      </c>
      <c r="G14" s="9" t="n">
        <v>2</v>
      </c>
      <c r="H14" s="8" t="s">
        <v>66</v>
      </c>
      <c r="I14" s="11" t="str">
        <f aca="false">IF(G14="","対象外",IF(G14=2,"正解",IF(G14=1,"部分正解","誤答")))</f>
        <v>正解</v>
      </c>
      <c r="J14" s="11" t="s">
        <v>539</v>
      </c>
    </row>
    <row r="15" customFormat="false" ht="67.5" hidden="false" customHeight="true" outlineLevel="0" collapsed="false">
      <c r="A15" s="6" t="s">
        <v>488</v>
      </c>
      <c r="B15" s="7" t="s">
        <v>77</v>
      </c>
      <c r="C15" s="7" t="s">
        <v>489</v>
      </c>
      <c r="D15" s="6" t="s">
        <v>540</v>
      </c>
      <c r="E15" s="6" t="s">
        <v>101</v>
      </c>
      <c r="F15" s="8" t="s">
        <v>541</v>
      </c>
      <c r="G15" s="9" t="n">
        <v>2</v>
      </c>
      <c r="H15" s="8" t="s">
        <v>66</v>
      </c>
      <c r="I15" s="11" t="str">
        <f aca="false">IF(G15="","対象外",IF(G15=2,"正解",IF(G15=1,"部分正解","誤答")))</f>
        <v>正解</v>
      </c>
      <c r="J15" s="11" t="s">
        <v>542</v>
      </c>
    </row>
    <row r="16" customFormat="false" ht="67.5" hidden="false" customHeight="true" outlineLevel="0" collapsed="false">
      <c r="A16" s="6" t="s">
        <v>490</v>
      </c>
      <c r="B16" s="7" t="s">
        <v>72</v>
      </c>
      <c r="C16" s="6" t="s">
        <v>491</v>
      </c>
      <c r="D16" s="7" t="s">
        <v>543</v>
      </c>
      <c r="E16" s="6" t="s">
        <v>109</v>
      </c>
      <c r="F16" s="9" t="s">
        <v>544</v>
      </c>
      <c r="G16" s="9" t="n">
        <v>2</v>
      </c>
      <c r="H16" s="8" t="s">
        <v>66</v>
      </c>
      <c r="I16" s="11" t="str">
        <f aca="false">IF(G16="","対象外",IF(G16=2,"正解",IF(G16=1,"部分正解","誤答")))</f>
        <v>正解</v>
      </c>
      <c r="J16" s="11" t="s">
        <v>545</v>
      </c>
    </row>
    <row r="17" customFormat="false" ht="67.5" hidden="false" customHeight="true" outlineLevel="0" collapsed="false">
      <c r="A17" s="6" t="s">
        <v>492</v>
      </c>
      <c r="B17" s="7" t="s">
        <v>115</v>
      </c>
      <c r="C17" s="7" t="s">
        <v>493</v>
      </c>
      <c r="D17" s="7" t="s">
        <v>546</v>
      </c>
      <c r="E17" s="6" t="s">
        <v>547</v>
      </c>
      <c r="F17" s="8" t="s">
        <v>548</v>
      </c>
      <c r="G17" s="9" t="n">
        <v>2</v>
      </c>
      <c r="H17" s="8" t="s">
        <v>66</v>
      </c>
      <c r="I17" s="11" t="str">
        <f aca="false">IF(G17="","対象外",IF(G17=2,"正解",IF(G17=1,"部分正解","誤答")))</f>
        <v>正解</v>
      </c>
      <c r="J17" s="11" t="s">
        <v>549</v>
      </c>
    </row>
    <row r="18" customFormat="false" ht="67.5" hidden="false" customHeight="true" outlineLevel="0" collapsed="false">
      <c r="A18" s="6" t="s">
        <v>494</v>
      </c>
      <c r="B18" s="7" t="s">
        <v>90</v>
      </c>
      <c r="C18" s="7" t="s">
        <v>495</v>
      </c>
      <c r="D18" s="7" t="s">
        <v>550</v>
      </c>
      <c r="E18" s="6" t="s">
        <v>121</v>
      </c>
      <c r="F18" s="8" t="s">
        <v>551</v>
      </c>
      <c r="G18" s="9" t="n">
        <v>2</v>
      </c>
      <c r="H18" s="8" t="s">
        <v>66</v>
      </c>
      <c r="I18" s="11" t="str">
        <f aca="false">IF(G18="","対象外",IF(G18=2,"正解",IF(G18=1,"部分正解","誤答")))</f>
        <v>正解</v>
      </c>
      <c r="J18" s="11" t="s">
        <v>552</v>
      </c>
    </row>
    <row r="19" customFormat="false" ht="67.5" hidden="false" customHeight="true" outlineLevel="0" collapsed="false">
      <c r="A19" s="6" t="s">
        <v>496</v>
      </c>
      <c r="B19" s="7" t="s">
        <v>77</v>
      </c>
      <c r="C19" s="6" t="s">
        <v>497</v>
      </c>
      <c r="D19" s="6" t="s">
        <v>553</v>
      </c>
      <c r="E19" s="6" t="s">
        <v>121</v>
      </c>
      <c r="F19" s="8" t="s">
        <v>554</v>
      </c>
      <c r="G19" s="9" t="n">
        <v>2</v>
      </c>
      <c r="H19" s="8" t="s">
        <v>66</v>
      </c>
      <c r="I19" s="11" t="str">
        <f aca="false">IF(G19="","対象外",IF(G19=2,"正解",IF(G19=1,"部分正解","誤答")))</f>
        <v>正解</v>
      </c>
      <c r="J19" s="11" t="s">
        <v>555</v>
      </c>
    </row>
    <row r="20" customFormat="false" ht="67.5" hidden="false" customHeight="true" outlineLevel="0" collapsed="false">
      <c r="A20" s="6" t="s">
        <v>498</v>
      </c>
      <c r="B20" s="7" t="s">
        <v>95</v>
      </c>
      <c r="C20" s="7" t="s">
        <v>499</v>
      </c>
      <c r="D20" s="7" t="s">
        <v>556</v>
      </c>
      <c r="E20" s="6" t="s">
        <v>125</v>
      </c>
      <c r="F20" s="8" t="s">
        <v>557</v>
      </c>
      <c r="G20" s="9" t="n">
        <v>2</v>
      </c>
      <c r="H20" s="8" t="s">
        <v>66</v>
      </c>
      <c r="I20" s="11" t="str">
        <f aca="false">IF(G20="","対象外",IF(G20=2,"正解",IF(G20=1,"部分正解","誤答")))</f>
        <v>正解</v>
      </c>
      <c r="J20" s="11" t="s">
        <v>558</v>
      </c>
    </row>
    <row r="21" customFormat="false" ht="67.5" hidden="false" customHeight="true" outlineLevel="0" collapsed="false">
      <c r="A21" s="6" t="s">
        <v>500</v>
      </c>
      <c r="B21" s="7" t="s">
        <v>95</v>
      </c>
      <c r="C21" s="7" t="s">
        <v>501</v>
      </c>
      <c r="D21" s="7" t="s">
        <v>559</v>
      </c>
      <c r="E21" s="6" t="s">
        <v>560</v>
      </c>
      <c r="F21" s="8" t="s">
        <v>561</v>
      </c>
      <c r="G21" s="9" t="n">
        <v>2</v>
      </c>
      <c r="H21" s="8" t="s">
        <v>66</v>
      </c>
      <c r="I21" s="11" t="str">
        <f aca="false">IF(G21="","対象外",IF(G21=2,"正解",IF(G21=1,"部分正解","誤答")))</f>
        <v>正解</v>
      </c>
      <c r="J21" s="11" t="s">
        <v>562</v>
      </c>
    </row>
    <row r="22" customFormat="false" ht="67.5" hidden="false" customHeight="true" outlineLevel="0" collapsed="false">
      <c r="A22" s="6" t="s">
        <v>502</v>
      </c>
      <c r="B22" s="7" t="s">
        <v>77</v>
      </c>
      <c r="C22" s="7" t="s">
        <v>503</v>
      </c>
      <c r="D22" s="6" t="s">
        <v>563</v>
      </c>
      <c r="E22" s="6" t="s">
        <v>564</v>
      </c>
      <c r="F22" s="8" t="s">
        <v>565</v>
      </c>
      <c r="G22" s="9" t="n">
        <v>2</v>
      </c>
      <c r="H22" s="8" t="s">
        <v>66</v>
      </c>
      <c r="I22" s="11" t="str">
        <f aca="false">IF(G22="","対象外",IF(G22=2,"正解",IF(G22=1,"部分正解","誤答")))</f>
        <v>正解</v>
      </c>
      <c r="J22" s="11" t="s">
        <v>566</v>
      </c>
    </row>
    <row r="23" customFormat="false" ht="67.5" hidden="false" customHeight="true" outlineLevel="0" collapsed="false">
      <c r="A23" s="6" t="s">
        <v>504</v>
      </c>
      <c r="B23" s="7" t="s">
        <v>72</v>
      </c>
      <c r="C23" s="7" t="s">
        <v>505</v>
      </c>
      <c r="D23" s="6" t="s">
        <v>567</v>
      </c>
      <c r="E23" s="6" t="s">
        <v>141</v>
      </c>
      <c r="F23" s="8" t="s">
        <v>568</v>
      </c>
      <c r="G23" s="9" t="n">
        <v>2</v>
      </c>
      <c r="H23" s="8" t="s">
        <v>66</v>
      </c>
      <c r="I23" s="11" t="str">
        <f aca="false">IF(G23="","対象外",IF(G23=2,"正解",IF(G23=1,"部分正解","誤答")))</f>
        <v>正解</v>
      </c>
      <c r="J23" s="11" t="s">
        <v>569</v>
      </c>
    </row>
    <row r="24" customFormat="false" ht="67.5" hidden="false" customHeight="true" outlineLevel="0" collapsed="false">
      <c r="A24" s="6" t="s">
        <v>506</v>
      </c>
      <c r="B24" s="7" t="s">
        <v>139</v>
      </c>
      <c r="C24" s="7" t="s">
        <v>507</v>
      </c>
      <c r="D24" s="7" t="s">
        <v>570</v>
      </c>
      <c r="E24" s="6" t="s">
        <v>87</v>
      </c>
      <c r="F24" s="8" t="s">
        <v>571</v>
      </c>
      <c r="G24" s="9" t="n">
        <v>2</v>
      </c>
      <c r="H24" s="8" t="s">
        <v>143</v>
      </c>
      <c r="I24" s="11" t="str">
        <f aca="false">IF(G24="","対象外",IF(G24=2,"正解",IF(G24=1,"部分正解","誤答")))</f>
        <v>正解</v>
      </c>
      <c r="J24" s="11" t="s">
        <v>572</v>
      </c>
    </row>
    <row r="26" customFormat="false" ht="15" hidden="false" customHeight="false" outlineLevel="0" collapsed="false">
      <c r="F26" s="12" t="s">
        <v>149</v>
      </c>
      <c r="G26" s="0" t="n">
        <f aca="false">SUM(G5:G24)</f>
        <v>40</v>
      </c>
    </row>
    <row r="27" customFormat="false" ht="15" hidden="false" customHeight="false" outlineLevel="0" collapsed="false">
      <c r="F27" s="13" t="s">
        <v>150</v>
      </c>
      <c r="G27" s="0" t="n">
        <f aca="false">COUNTIF(I5:I24,"正解")</f>
        <v>20</v>
      </c>
    </row>
    <row r="28" customFormat="false" ht="15" hidden="false" customHeight="false" outlineLevel="0" collapsed="false">
      <c r="F28" s="13" t="s">
        <v>151</v>
      </c>
      <c r="G28" s="0" t="n">
        <f aca="false">COUNTIF(I5:I24,"対象外")</f>
        <v>0</v>
      </c>
    </row>
  </sheetData>
  <dataValidations count="1">
    <dataValidation allowBlank="false" errorStyle="stop" operator="between" showDropDown="false" showErrorMessage="false" showInputMessage="false" sqref="G5:G24" type="whole">
      <formula1>0</formula1>
      <formula2>2</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s>
  <sheetData>
    <row r="2" customFormat="false" ht="16.4" hidden="false" customHeight="false" outlineLevel="0" collapsed="false">
      <c r="A2" s="22" t="s">
        <v>573</v>
      </c>
    </row>
    <row r="4" customFormat="false" ht="15" hidden="false" customHeight="false" outlineLevel="0" collapsed="false">
      <c r="A4" s="12" t="s">
        <v>574</v>
      </c>
      <c r="B4" s="12" t="s">
        <v>575</v>
      </c>
      <c r="C4" s="12" t="s">
        <v>576</v>
      </c>
      <c r="D4" s="12" t="s">
        <v>577</v>
      </c>
      <c r="E4" s="12" t="s">
        <v>578</v>
      </c>
      <c r="F4" s="12" t="s">
        <v>151</v>
      </c>
      <c r="G4" s="12" t="s">
        <v>579</v>
      </c>
      <c r="H4" s="12" t="s">
        <v>580</v>
      </c>
      <c r="I4" s="12" t="s">
        <v>581</v>
      </c>
    </row>
    <row r="5" customFormat="false" ht="15" hidden="false" customHeight="false" outlineLevel="0" collapsed="false">
      <c r="A5" s="0" t="s">
        <v>582</v>
      </c>
      <c r="B5" s="0" t="n">
        <f aca="false">COUNTA(01_正解表!A5:A24)</f>
        <v>20</v>
      </c>
      <c r="C5" s="0" t="n">
        <f aca="false">COUNTIF(01_正解表!I5:I24,"正解")</f>
        <v>20</v>
      </c>
      <c r="D5" s="0" t="n">
        <f aca="false">COUNTIF(01_正解表!I5:I24,"部分正解")</f>
        <v>0</v>
      </c>
      <c r="E5" s="0" t="n">
        <f aca="false">COUNTIF(01_正解表!I5:I24,"誤答")</f>
        <v>0</v>
      </c>
      <c r="F5" s="0" t="n">
        <f aca="false">COUNTIF(01_正解表!I5:I24,"対象外")</f>
        <v>0</v>
      </c>
      <c r="G5" s="0" t="n">
        <f aca="false">SUM(01_正解表!G5:G24)</f>
        <v>40</v>
      </c>
      <c r="H5" s="0" t="n">
        <f aca="false">(B5-F5)*2</f>
        <v>40</v>
      </c>
      <c r="I5" s="23" t="n">
        <f aca="false">IF(H5=0,"",G5/H5)</f>
        <v>1</v>
      </c>
    </row>
    <row r="6" customFormat="false" ht="15" hidden="false" customHeight="false" outlineLevel="0" collapsed="false">
      <c r="A6" s="0" t="s">
        <v>583</v>
      </c>
      <c r="B6" s="0" t="n">
        <f aca="false">COUNTA(02_正解表!A5:A24)</f>
        <v>20</v>
      </c>
      <c r="C6" s="0" t="n">
        <f aca="false">COUNTIF(02_正解表!I5:I24,"正解")</f>
        <v>20</v>
      </c>
      <c r="D6" s="0" t="n">
        <f aca="false">COUNTIF(02_正解表!I5:I24,"部分正解")</f>
        <v>0</v>
      </c>
      <c r="E6" s="0" t="n">
        <f aca="false">COUNTIF(02_正解表!I5:I24,"誤答")</f>
        <v>0</v>
      </c>
      <c r="F6" s="0" t="n">
        <f aca="false">COUNTIF(02_正解表!I5:I24,"対象外")</f>
        <v>0</v>
      </c>
      <c r="G6" s="0" t="n">
        <f aca="false">SUM(02_正解表!G5:G24)</f>
        <v>40</v>
      </c>
      <c r="H6" s="0" t="n">
        <f aca="false">(B6-F6)*2</f>
        <v>40</v>
      </c>
      <c r="I6" s="23" t="n">
        <f aca="false">IF(H6=0,"",G6/H6)</f>
        <v>1</v>
      </c>
    </row>
    <row r="7" customFormat="false" ht="15" hidden="false" customHeight="false" outlineLevel="0" collapsed="false">
      <c r="A7" s="0" t="s">
        <v>584</v>
      </c>
      <c r="B7" s="0" t="n">
        <f aca="false">COUNTA(03_正解表!A5:A24)</f>
        <v>20</v>
      </c>
      <c r="C7" s="0" t="n">
        <f aca="false">COUNTIF(03_正解表!I5:I24,"正解")</f>
        <v>20</v>
      </c>
      <c r="D7" s="0" t="n">
        <f aca="false">COUNTIF(03_正解表!I5:I24,"部分正解")</f>
        <v>0</v>
      </c>
      <c r="E7" s="0" t="n">
        <f aca="false">COUNTIF(03_正解表!I5:I24,"誤答")</f>
        <v>0</v>
      </c>
      <c r="F7" s="0" t="n">
        <f aca="false">COUNTIF(03_正解表!I5:I24,"対象外")</f>
        <v>0</v>
      </c>
      <c r="G7" s="0" t="n">
        <f aca="false">SUM(03_正解表!G5:G24)</f>
        <v>40</v>
      </c>
      <c r="H7" s="0" t="n">
        <f aca="false">(B7-F7)*2</f>
        <v>40</v>
      </c>
      <c r="I7" s="23" t="n">
        <f aca="false">IF(H7=0,"",G7/H7)</f>
        <v>1</v>
      </c>
    </row>
    <row r="8" customFormat="false" ht="15" hidden="false" customHeight="false" outlineLevel="0" collapsed="false">
      <c r="A8" s="0" t="s">
        <v>585</v>
      </c>
      <c r="B8" s="0" t="n">
        <f aca="false">COUNTA(04_正解表!A5:A24)</f>
        <v>20</v>
      </c>
      <c r="C8" s="0" t="n">
        <f aca="false">COUNTIF(04_正解表!I5:I24,"正解")</f>
        <v>20</v>
      </c>
      <c r="D8" s="0" t="n">
        <f aca="false">COUNTIF(04_正解表!I5:I24,"部分正解")</f>
        <v>0</v>
      </c>
      <c r="E8" s="0" t="n">
        <f aca="false">COUNTIF(04_正解表!I5:I24,"誤答")</f>
        <v>0</v>
      </c>
      <c r="F8" s="0" t="n">
        <f aca="false">COUNTIF(04_正解表!I5:I24,"対象外")</f>
        <v>0</v>
      </c>
      <c r="G8" s="0" t="n">
        <f aca="false">SUM(04_正解表!G5:G24)</f>
        <v>40</v>
      </c>
      <c r="H8" s="0" t="n">
        <f aca="false">(B8-F8)*2</f>
        <v>40</v>
      </c>
      <c r="I8" s="23" t="n">
        <f aca="false">IF(H8=0,"",G8/H8)</f>
        <v>1</v>
      </c>
    </row>
    <row r="9" customFormat="false" ht="15" hidden="false" customHeight="false" outlineLevel="0" collapsed="false">
      <c r="A9" s="0" t="s">
        <v>586</v>
      </c>
      <c r="B9" s="0" t="n">
        <f aca="false">COUNTA(05_正解表!A5:A24)</f>
        <v>20</v>
      </c>
      <c r="C9" s="0" t="n">
        <f aca="false">COUNTIF(05_正解表!I5:I24,"正解")</f>
        <v>20</v>
      </c>
      <c r="D9" s="0" t="n">
        <f aca="false">COUNTIF(05_正解表!I5:I24,"部分正解")</f>
        <v>0</v>
      </c>
      <c r="E9" s="0" t="n">
        <f aca="false">COUNTIF(05_正解表!I5:I24,"誤答")</f>
        <v>0</v>
      </c>
      <c r="F9" s="0" t="n">
        <f aca="false">COUNTIF(05_正解表!I5:I24,"対象外")</f>
        <v>0</v>
      </c>
      <c r="G9" s="0" t="n">
        <f aca="false">SUM(05_正解表!G5:G24)</f>
        <v>40</v>
      </c>
      <c r="H9" s="0" t="n">
        <f aca="false">(B9-F9)*2</f>
        <v>40</v>
      </c>
      <c r="I9" s="23" t="n">
        <f aca="false">IF(H9=0,"",G9/H9)</f>
        <v>1</v>
      </c>
    </row>
    <row r="10" customFormat="false" ht="15" hidden="false" customHeight="false" outlineLevel="0" collapsed="false">
      <c r="A10" s="12" t="s">
        <v>587</v>
      </c>
      <c r="B10" s="0" t="n">
        <f aca="false">SUM(B5:B9)</f>
        <v>100</v>
      </c>
      <c r="C10" s="0" t="n">
        <f aca="false">SUM(C5:C9)</f>
        <v>100</v>
      </c>
      <c r="D10" s="0" t="n">
        <f aca="false">SUM(D5:D9)</f>
        <v>0</v>
      </c>
      <c r="E10" s="0" t="n">
        <f aca="false">SUM(E5:E9)</f>
        <v>0</v>
      </c>
      <c r="F10" s="0" t="n">
        <f aca="false">SUM(F5:F9)</f>
        <v>0</v>
      </c>
      <c r="G10" s="0" t="n">
        <f aca="false">SUM(G5:G9)</f>
        <v>200</v>
      </c>
      <c r="H10" s="0" t="n">
        <f aca="false">SUM(H5:H9)</f>
        <v>200</v>
      </c>
      <c r="I10" s="23" t="n">
        <f aca="false">IF(H10=0,"",G10/H10)</f>
        <v>1</v>
      </c>
    </row>
    <row r="12" customFormat="false" ht="15" hidden="false" customHeight="false" outlineLevel="0" collapsed="false">
      <c r="A12" s="13" t="s">
        <v>588</v>
      </c>
    </row>
    <row r="13" customFormat="false" ht="15" hidden="false" customHeight="false" outlineLevel="0" collapsed="false">
      <c r="A13" s="13" t="s">
        <v>589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2026-10-31T12:24:35Z</dcterms:created>
  <dc:creator>openpyxl</dc:creator>
  <dc:description/>
  <dc:language>en-US</dc:language>
  <cp:lastModifiedBy/>
  <dcterms:modified xsi:type="dcterms:W3CDTF">2026-10-31T12:24:35Z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